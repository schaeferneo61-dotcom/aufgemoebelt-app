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fileSharing readOnlyRecommended="1" userName="Jacob Schaefer" algorithmName="SHA-512" hashValue="y5z0jKTW3LhJAsXbJNneR2HTa+Do6nlHw8v1IB12zol4cIjREMQZypnHp7t03in/xfbLkAhwhFEiMhfm5tu/Ww==" saltValue="DWzUbK8iEzATbxqKdaLILA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obschaefer/Desktop/"/>
    </mc:Choice>
  </mc:AlternateContent>
  <xr:revisionPtr revIDLastSave="0" documentId="8_{8F40A779-2158-4946-A3BB-D20E6A535A76}" xr6:coauthVersionLast="47" xr6:coauthVersionMax="47" xr10:uidLastSave="{00000000-0000-0000-0000-000000000000}"/>
  <bookViews>
    <workbookView xWindow="-7660" yWindow="-25940" windowWidth="45040" windowHeight="25940" xr2:uid="{A9193F4F-7A60-ED41-8CB1-63E12B2D34D3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61" i="1"/>
  <c r="H62" i="1"/>
  <c r="H63" i="1"/>
  <c r="H64" i="1"/>
  <c r="H65" i="1"/>
  <c r="H66" i="1"/>
  <c r="H67" i="1"/>
  <c r="H68" i="1"/>
  <c r="H69" i="1"/>
  <c r="H70" i="1"/>
  <c r="H60" i="1"/>
  <c r="H59" i="1"/>
  <c r="H42" i="1"/>
  <c r="H43" i="1"/>
  <c r="H44" i="1"/>
  <c r="H45" i="1"/>
  <c r="H46" i="1"/>
  <c r="H47" i="1"/>
  <c r="H54" i="1"/>
  <c r="H55" i="1"/>
  <c r="H56" i="1"/>
  <c r="H57" i="1"/>
  <c r="H58" i="1"/>
  <c r="H40" i="1"/>
  <c r="H41" i="1"/>
  <c r="H48" i="1"/>
  <c r="H49" i="1"/>
  <c r="H50" i="1"/>
  <c r="H51" i="1"/>
  <c r="H52" i="1"/>
  <c r="H53" i="1"/>
  <c r="H39" i="1"/>
  <c r="H38" i="1"/>
  <c r="H37" i="1"/>
  <c r="H22" i="1"/>
  <c r="H27" i="1"/>
  <c r="H26" i="1"/>
  <c r="H25" i="1"/>
  <c r="H21" i="1"/>
  <c r="H20" i="1"/>
  <c r="H24" i="1"/>
  <c r="H12" i="1"/>
  <c r="H31" i="1"/>
  <c r="H28" i="1"/>
  <c r="H23" i="1"/>
  <c r="H19" i="1"/>
  <c r="H18" i="1"/>
  <c r="H17" i="1"/>
  <c r="H16" i="1"/>
  <c r="H15" i="1"/>
  <c r="H14" i="1"/>
  <c r="H13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<sst xmlns="http://schemas.openxmlformats.org/spreadsheetml/2006/main" count="253" uniqueCount="180">
  <si>
    <t>Kategorie</t>
  </si>
  <si>
    <t>Produkt</t>
  </si>
  <si>
    <t>Stärke (mm)</t>
  </si>
  <si>
    <t>Maße (mm)</t>
  </si>
  <si>
    <t>m2/Lfm</t>
  </si>
  <si>
    <t>Händler</t>
  </si>
  <si>
    <t>EK-Preis netto/Stk.</t>
  </si>
  <si>
    <t>VK-Preis netto/Stk.</t>
  </si>
  <si>
    <t>Stk./Palette</t>
  </si>
  <si>
    <t>Holz: Latten, Staffeln &amp; Platten</t>
  </si>
  <si>
    <t xml:space="preserve">Seekiefer 3 (PEFC) </t>
  </si>
  <si>
    <t>2500x1250</t>
  </si>
  <si>
    <t>Frischeis</t>
  </si>
  <si>
    <t>Seekiefer 1/2 (PEFC)</t>
  </si>
  <si>
    <t>MDF (PEFC)</t>
  </si>
  <si>
    <t>2800x2070</t>
  </si>
  <si>
    <t>2800x2071</t>
  </si>
  <si>
    <t>2800x2072</t>
  </si>
  <si>
    <t>MDF/HDF (PEFC)</t>
  </si>
  <si>
    <t>2800x2073</t>
  </si>
  <si>
    <t>Sperrplatte Pappel (PEFC)</t>
  </si>
  <si>
    <t>2520x1870</t>
  </si>
  <si>
    <t>2520x1871</t>
  </si>
  <si>
    <t>EUROPLAC Eiche furniert (PEFC)</t>
  </si>
  <si>
    <t>3-Schicht Fichte (PEFC)</t>
  </si>
  <si>
    <t>2500x2050</t>
  </si>
  <si>
    <t>OSB 3 N+F (PEFC)</t>
  </si>
  <si>
    <t>2500x625</t>
  </si>
  <si>
    <t>Theaterlatte (PEFC)</t>
  </si>
  <si>
    <t>30/70</t>
  </si>
  <si>
    <t>25/55</t>
  </si>
  <si>
    <t xml:space="preserve">5/8er Staffel (PEFC) </t>
  </si>
  <si>
    <t>50/80</t>
  </si>
  <si>
    <t>Metall &amp; Kunststoff - Plattenware</t>
  </si>
  <si>
    <t>Aluverbund weiß</t>
  </si>
  <si>
    <t>2050x1000</t>
  </si>
  <si>
    <t>Wettlinger</t>
  </si>
  <si>
    <t>3000x1500</t>
  </si>
  <si>
    <t>Aluverbund alu gebürstet</t>
  </si>
  <si>
    <t>Aluverbund schwarz</t>
  </si>
  <si>
    <t>Polycarbonat</t>
  </si>
  <si>
    <t>3050x2050</t>
  </si>
  <si>
    <t>Acrylglas XT</t>
  </si>
  <si>
    <t>Acrylglas GS</t>
  </si>
  <si>
    <t>Mastersplatte</t>
  </si>
  <si>
    <t>3050x1560</t>
  </si>
  <si>
    <t>Stoffe</t>
  </si>
  <si>
    <t>320g/m2</t>
  </si>
  <si>
    <t>Breite 3000</t>
  </si>
  <si>
    <t>bis 30 Lfm</t>
  </si>
  <si>
    <t>Tüchler</t>
  </si>
  <si>
    <t>60lm</t>
  </si>
  <si>
    <t>200g/m2</t>
  </si>
  <si>
    <t>Breite 3200</t>
  </si>
  <si>
    <t>Green</t>
  </si>
  <si>
    <t>Folien</t>
  </si>
  <si>
    <t>Farbe matt</t>
  </si>
  <si>
    <t>122cm</t>
  </si>
  <si>
    <t>Alphaset</t>
  </si>
  <si>
    <t>Milchglasfolie TR100</t>
  </si>
  <si>
    <t>Milchglasfolie EasyDot</t>
  </si>
  <si>
    <t>137cm</t>
  </si>
  <si>
    <t>Europapier</t>
  </si>
  <si>
    <t>Stahl</t>
  </si>
  <si>
    <t>Formrohr 15/15</t>
  </si>
  <si>
    <t xml:space="preserve">Posamentir </t>
  </si>
  <si>
    <t>Formrohr 20/20</t>
  </si>
  <si>
    <t>Posamentir</t>
  </si>
  <si>
    <t>Formrohr 25/25</t>
  </si>
  <si>
    <t>Formrohr 30/30</t>
  </si>
  <si>
    <t xml:space="preserve">Formrohr 40/40 </t>
  </si>
  <si>
    <t xml:space="preserve">Formrohr 50/50 </t>
  </si>
  <si>
    <t xml:space="preserve">Formrohr 50/80 </t>
  </si>
  <si>
    <t xml:space="preserve">Formrohr 40/20 </t>
  </si>
  <si>
    <t>Formrohr 60/40</t>
  </si>
  <si>
    <t xml:space="preserve">Winkelstahl 20/20 </t>
  </si>
  <si>
    <t>WInkelstahl 25/25</t>
  </si>
  <si>
    <t>Winkelstahl 30/30</t>
  </si>
  <si>
    <t>Winkelstahl 40/40</t>
  </si>
  <si>
    <t>T- Stahl 25/25</t>
  </si>
  <si>
    <t>Rohr 20 (geschw.)</t>
  </si>
  <si>
    <t>Flachstahl 20</t>
  </si>
  <si>
    <t xml:space="preserve">Flachstahl 30 </t>
  </si>
  <si>
    <t xml:space="preserve">Flachstahl 40 </t>
  </si>
  <si>
    <t xml:space="preserve">Flachstahl 50 </t>
  </si>
  <si>
    <t>Breitflachstahl 200</t>
  </si>
  <si>
    <t xml:space="preserve">Blechtafel </t>
  </si>
  <si>
    <t>1250x2500</t>
  </si>
  <si>
    <t>Blechtafel (Mittelblech)</t>
  </si>
  <si>
    <t>1000x2000</t>
  </si>
  <si>
    <t xml:space="preserve">Gitter 50/50 </t>
  </si>
  <si>
    <t>1500x4200</t>
  </si>
  <si>
    <t xml:space="preserve">Alu </t>
  </si>
  <si>
    <t>AluPipe 48</t>
  </si>
  <si>
    <t>Klöckner</t>
  </si>
  <si>
    <t xml:space="preserve">Alu Formrohr 20/20 </t>
  </si>
  <si>
    <t>Alu Formrohr 25/25</t>
  </si>
  <si>
    <t xml:space="preserve">Alu Formrohr 30/30 </t>
  </si>
  <si>
    <t xml:space="preserve">Alu Formrohr 40/40 </t>
  </si>
  <si>
    <t xml:space="preserve">Alu Formrohr 50/50 </t>
  </si>
  <si>
    <t xml:space="preserve">Alu Winkel 20/20 </t>
  </si>
  <si>
    <t xml:space="preserve">Alu Winkel 30/30 </t>
  </si>
  <si>
    <t xml:space="preserve">Alu Winkel 40/40 </t>
  </si>
  <si>
    <t xml:space="preserve">Alu Flach 20 </t>
  </si>
  <si>
    <t xml:space="preserve">Alu Flach 30 </t>
  </si>
  <si>
    <t>MOLLINO-NESSEL natur</t>
  </si>
  <si>
    <t>MOLTON B1 ÖkoTex100</t>
  </si>
  <si>
    <t>AdamHall</t>
  </si>
  <si>
    <r>
      <t>***</t>
    </r>
    <r>
      <rPr>
        <i/>
        <sz val="8"/>
        <color theme="1"/>
        <rFont val="Calibri"/>
        <family val="2"/>
        <scheme val="minor"/>
      </rPr>
      <t>MOLTON B1 Premium</t>
    </r>
    <r>
      <rPr>
        <sz val="12"/>
        <color theme="1"/>
        <rFont val="Calibri"/>
        <family val="2"/>
        <scheme val="minor"/>
      </rPr>
      <t>***</t>
    </r>
  </si>
  <si>
    <t>***wird nicht mehr gekauft</t>
  </si>
  <si>
    <t>&lt;-neuer Standard Molton</t>
  </si>
  <si>
    <t>Sefra Dispersion Weiss / pro Kg</t>
  </si>
  <si>
    <t xml:space="preserve">Hornbach Dispersion Schwarz 10L / pro Liter	</t>
  </si>
  <si>
    <t xml:space="preserve">Abgetönt: Dispersion Firnweiß | 1 Liter / Sefra	</t>
  </si>
  <si>
    <t xml:space="preserve">Abgetönt: Dispersion Firnweiß | 1 kg / Sefra	</t>
  </si>
  <si>
    <t xml:space="preserve">Swing Color Arktisweiß 10 L / pro Liter		</t>
  </si>
  <si>
    <t xml:space="preserve">Schöner Wohnen Polarweiß 10L / pro Liter		</t>
  </si>
  <si>
    <t xml:space="preserve">Meister Polarweiß 10 L / pro Liter	</t>
  </si>
  <si>
    <t>Malerei: Dispersion</t>
  </si>
  <si>
    <t>Malerei: Lacke</t>
  </si>
  <si>
    <t>Abgetönt: CWS Wertlack Aqua PU | 1 Liter / Sefra</t>
  </si>
  <si>
    <t>Molotow Premium Spraydosen / Gerstäcker</t>
  </si>
  <si>
    <t>Hornbach Klarlack Acryl 2L / pro Liter</t>
  </si>
  <si>
    <t>Hornbach Klarlack Acryl / pro Dose (750ml)</t>
  </si>
  <si>
    <t>Swing Color Klarlack Acryl / pro Dose (750ml)</t>
  </si>
  <si>
    <t>HORNBACH Buntlack PU Acryllack</t>
  </si>
  <si>
    <t>Bona Parkettlack 4 L / pro Liter</t>
  </si>
  <si>
    <t>CWS Klarlack / pro Dose (2,5 Liter)</t>
  </si>
  <si>
    <t>Adler Holzlack, Möbel &amp;amp; Parkett / pro Dose (2,5 Liter)</t>
  </si>
  <si>
    <t>Adler Holzlack, Möbel &amp; Parkett / pro Dose (750ml)</t>
  </si>
  <si>
    <t>Sikkens Alpha Metallic Lack / pro Dose (2,5 Liter)</t>
  </si>
  <si>
    <t>Polyfen Überzugslack Allcolor / pro Liter</t>
  </si>
  <si>
    <t>Malerei: Lasuren</t>
  </si>
  <si>
    <t>Adler Legno Öl / pro Dose (750ml)</t>
  </si>
  <si>
    <t>Gerstäcker Leinölfirnis / Gerstaecker </t>
  </si>
  <si>
    <t>Wohnraumlasur Hornbach / pro Dose (750ml)</t>
  </si>
  <si>
    <t>Holzbeize Schimek (Pulver) / pro Packung (2g)</t>
  </si>
  <si>
    <t>Spiritusbeize Borma Wachs / pro Flasche (500ml)</t>
  </si>
  <si>
    <t>Adler Holzbeize Positiv Plus / pro Liter</t>
  </si>
  <si>
    <t>Holzbeize Allendo / pro Flasche (250ml)</t>
  </si>
  <si>
    <t>Malerei: Abdecken / Abkleben</t>
  </si>
  <si>
    <t>Abdeckpapier pro Rolle (150m) / Bermaro</t>
  </si>
  <si>
    <t>Abdeckpapier pro Lfm</t>
  </si>
  <si>
    <t>Malerkrepp / ISO-Car</t>
  </si>
  <si>
    <t>Sensi-Krepp Goldband / ISO-Car</t>
  </si>
  <si>
    <t>Faltmask schmal 55cm / Würth</t>
  </si>
  <si>
    <t>Faltmask breit 140cm / Würth</t>
  </si>
  <si>
    <t>Malervlies, 50m, 220g/m2 / Contorion</t>
  </si>
  <si>
    <t>Abdeckfolie, Rolle 100m^2</t>
  </si>
  <si>
    <t>Weißes Schutzvlies, selbsthaftend 50m / Würth</t>
  </si>
  <si>
    <t>Malerei:  Spachteln / Schleifen</t>
  </si>
  <si>
    <t>Mirka Schleifscheiben für ETS/Rotex / ACH-Shop</t>
  </si>
  <si>
    <t>Knauf Perlfix pro Sack, 25kg / Hornbach</t>
  </si>
  <si>
    <t>Knauf Gelbband pro Sack, 25kg / Hornbach</t>
  </si>
  <si>
    <t>Ruckzuck Moltofill (Tube) / Bauhaus</t>
  </si>
  <si>
    <t>Vaku 40 + Härter (1 Dose) / Würth</t>
  </si>
  <si>
    <t>Dickschicht Grundierfüller / Würth </t>
  </si>
  <si>
    <t>Ecogard B45 Flammschutzmittel, pro kg / Tüchler</t>
  </si>
  <si>
    <t>Acryl Multigrund pro Liter / Hornbach</t>
  </si>
  <si>
    <t>Swing Color Acryl Rostschutzgrund / pro Dose (750ml)</t>
  </si>
  <si>
    <t>Maleracryl Kartusche / Würth</t>
  </si>
  <si>
    <t>Bremsenreiniger / Würth</t>
  </si>
  <si>
    <t>Aqua-ISO-Primer Adler / 750ml</t>
  </si>
  <si>
    <t>Fleckenblocker Spray Molto / pro Dose</t>
  </si>
  <si>
    <t>Fleckenblocker Molto (zum Streichen) / 750ml</t>
  </si>
  <si>
    <t>Acryl-Tiefengrund Hornbach 10L</t>
  </si>
  <si>
    <t>Primer Classidur Universal xtrem epoxy / pro Liter</t>
  </si>
  <si>
    <t>Spezialhaftgrund Knauf / pro Kübel (2,5kg)</t>
  </si>
  <si>
    <t>IPA-Reiniger Würth / pro Dose (500ml)</t>
  </si>
  <si>
    <t>Schimmel-Ex Spray Hornbach / pro Flasche (500ml)</t>
  </si>
  <si>
    <t>Modulan Aqua Multi-Primer / pro Dose (2,5 Liter)</t>
  </si>
  <si>
    <t>Malerei:  Sonstiges</t>
  </si>
  <si>
    <t>Metylan Kleister für Papier, pro Pk / Hornbach</t>
  </si>
  <si>
    <t>Dirtydown je Dose / patin-a.de</t>
  </si>
  <si>
    <t>Capaplex pro Liter / Synthesa Caperol</t>
  </si>
  <si>
    <t>Metylan Kleister Spezial, pro Pk / Hornbach</t>
  </si>
  <si>
    <t>Pintasol Abtönkonzentrat / pro Flasche (750g)</t>
  </si>
  <si>
    <t>Mixol Abtönkonzentrat / pro Flasche (200ml)</t>
  </si>
  <si>
    <t>Rollputz Modulan / 15kg</t>
  </si>
  <si>
    <t>Rollputz Modulan / 25kg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</si>
</sst>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6"/>
      <color rgb="FF212529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63377788628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double">
        <color indexed="64"/>
      </bottom>
      <diagonal/>
    </border>
    <border>
      <left style="thin">
        <color rgb="FF000000"/>
      </left>
      <right/>
      <top style="double">
        <color indexed="64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5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0" xfId="0" applyFont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0" borderId="7" xfId="0" applyBorder="1"/>
    <xf numFmtId="0" fontId="0" fillId="3" borderId="7" xfId="0" applyFill="1" applyBorder="1"/>
    <xf numFmtId="0" fontId="0" fillId="3" borderId="12" xfId="0" applyFill="1" applyBorder="1"/>
    <xf numFmtId="0" fontId="0" fillId="0" borderId="12" xfId="0" applyBorder="1"/>
    <xf numFmtId="0" fontId="0" fillId="0" borderId="8" xfId="0" applyBorder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0" fillId="0" borderId="0" xfId="0"/>
    <xf numFmtId="0" fontId="0" fillId="0" borderId="1" xfId="0" applyBorder="1"/>
    <xf numFmtId="0" fontId="0" fillId="0" borderId="7" xfId="0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/>
    </xf>
    <xf numFmtId="0" fontId="0" fillId="0" borderId="12" xfId="0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0D632-0340-F947-8573-C6D8F6173003}">
  <dimension ref="A1:M146"/>
  <sheetViews>
    <sheetView tabSelected="1" showWhiteSpace="0" zoomScale="156" zoomScaleNormal="100" zoomScalePageLayoutView="150" workbookViewId="0">
      <pane ySplit="1" topLeftCell="A110" activePane="bottomLeft" state="frozen"/>
      <selection pane="bottomLeft" activeCell="I139" sqref="I139"/>
    </sheetView>
  </sheetViews>
  <sheetFormatPr baseColWidth="10" defaultColWidth="11" defaultRowHeight="16" x14ac:dyDescent="0.2"/>
  <cols>
    <col min="1" max="1" width="9.6640625" customWidth="1"/>
    <col min="2" max="2" width="27.1640625" customWidth="1"/>
    <col min="3" max="3" width="12.6640625" style="1" customWidth="1"/>
    <col min="4" max="4" width="11.6640625" style="1" customWidth="1"/>
    <col min="5" max="5" width="9.83203125" style="1" customWidth="1"/>
    <col min="6" max="6" width="12.6640625" style="1" customWidth="1"/>
    <col min="7" max="7" width="17.5" style="14" customWidth="1"/>
    <col min="8" max="8" width="17.83203125" style="14" customWidth="1"/>
    <col min="9" max="9" width="12.33203125" style="1" customWidth="1"/>
    <col min="10" max="10" width="26.1640625" customWidth="1"/>
  </cols>
  <sheetData>
    <row r="1" spans="1:9" x14ac:dyDescent="0.2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13" t="s">
        <v>7</v>
      </c>
      <c r="I1" s="8" t="s">
        <v>8</v>
      </c>
    </row>
    <row r="2" spans="1:9" x14ac:dyDescent="0.2">
      <c r="A2" s="32" t="s">
        <v>9</v>
      </c>
      <c r="B2" s="20" t="s">
        <v>10</v>
      </c>
      <c r="C2" s="1">
        <v>9</v>
      </c>
      <c r="D2" s="1" t="s">
        <v>11</v>
      </c>
      <c r="E2" s="1">
        <v>3.125</v>
      </c>
      <c r="F2" s="1" t="s">
        <v>12</v>
      </c>
      <c r="G2" s="14">
        <v>18.91</v>
      </c>
      <c r="H2" s="14">
        <f>G2*1.5</f>
        <v>28.365000000000002</v>
      </c>
      <c r="I2" s="9">
        <v>50</v>
      </c>
    </row>
    <row r="3" spans="1:9" x14ac:dyDescent="0.2">
      <c r="A3" s="33"/>
      <c r="B3" s="21" t="s">
        <v>13</v>
      </c>
      <c r="C3" s="18">
        <v>18</v>
      </c>
      <c r="D3" s="18" t="s">
        <v>11</v>
      </c>
      <c r="E3" s="18">
        <v>3.125</v>
      </c>
      <c r="F3" s="18" t="s">
        <v>12</v>
      </c>
      <c r="G3" s="19">
        <v>60.8</v>
      </c>
      <c r="H3" s="19">
        <f>G3*1.5</f>
        <v>91.199999999999989</v>
      </c>
      <c r="I3" s="10">
        <v>25</v>
      </c>
    </row>
    <row r="4" spans="1:9" x14ac:dyDescent="0.2">
      <c r="A4" s="33"/>
      <c r="B4" s="20" t="s">
        <v>14</v>
      </c>
      <c r="C4" s="1">
        <v>8</v>
      </c>
      <c r="D4" s="1" t="s">
        <v>15</v>
      </c>
      <c r="E4" s="1">
        <v>5.7960000000000003</v>
      </c>
      <c r="F4" s="1" t="s">
        <v>12</v>
      </c>
      <c r="G4" s="14">
        <v>28.4</v>
      </c>
      <c r="H4" s="14">
        <f>G4*1.5</f>
        <v>42.599999999999994</v>
      </c>
      <c r="I4" s="9">
        <v>40</v>
      </c>
    </row>
    <row r="5" spans="1:9" x14ac:dyDescent="0.2">
      <c r="A5" s="33"/>
      <c r="B5" s="21" t="s">
        <v>14</v>
      </c>
      <c r="C5" s="18">
        <v>16</v>
      </c>
      <c r="D5" s="18" t="s">
        <v>16</v>
      </c>
      <c r="E5" s="18">
        <v>5.7960000000000003</v>
      </c>
      <c r="F5" s="18" t="s">
        <v>12</v>
      </c>
      <c r="G5" s="19">
        <v>40.68</v>
      </c>
      <c r="H5" s="19">
        <f>G5*1.5</f>
        <v>61.019999999999996</v>
      </c>
      <c r="I5" s="10">
        <v>28</v>
      </c>
    </row>
    <row r="6" spans="1:9" x14ac:dyDescent="0.2">
      <c r="A6" s="33"/>
      <c r="B6" s="20" t="s">
        <v>14</v>
      </c>
      <c r="C6" s="1">
        <v>19</v>
      </c>
      <c r="D6" s="1" t="s">
        <v>17</v>
      </c>
      <c r="E6" s="1">
        <v>5.7960000000000003</v>
      </c>
      <c r="F6" s="1" t="s">
        <v>12</v>
      </c>
      <c r="G6" s="14">
        <v>49.82</v>
      </c>
      <c r="H6" s="14">
        <f>G6*1.5</f>
        <v>74.73</v>
      </c>
      <c r="I6" s="9">
        <v>24</v>
      </c>
    </row>
    <row r="7" spans="1:9" x14ac:dyDescent="0.2">
      <c r="A7" s="33"/>
      <c r="B7" s="21" t="s">
        <v>18</v>
      </c>
      <c r="C7" s="18">
        <v>3</v>
      </c>
      <c r="D7" s="18" t="s">
        <v>19</v>
      </c>
      <c r="E7" s="18">
        <v>5.7960000000000003</v>
      </c>
      <c r="F7" s="18" t="s">
        <v>12</v>
      </c>
      <c r="G7" s="19">
        <v>19.41</v>
      </c>
      <c r="H7" s="19">
        <f>G7*1.4</f>
        <v>27.173999999999999</v>
      </c>
      <c r="I7" s="10"/>
    </row>
    <row r="8" spans="1:9" x14ac:dyDescent="0.2">
      <c r="A8" s="33"/>
      <c r="B8" s="20" t="s">
        <v>20</v>
      </c>
      <c r="C8" s="1">
        <v>10</v>
      </c>
      <c r="D8" s="1" t="s">
        <v>21</v>
      </c>
      <c r="E8" s="1">
        <v>4.7119999999999997</v>
      </c>
      <c r="F8" s="1" t="s">
        <v>12</v>
      </c>
      <c r="G8" s="14">
        <v>60.15</v>
      </c>
      <c r="H8" s="14">
        <f t="shared" ref="H8:H28" si="0">G8*1.5</f>
        <v>90.224999999999994</v>
      </c>
      <c r="I8" s="9">
        <v>60</v>
      </c>
    </row>
    <row r="9" spans="1:9" x14ac:dyDescent="0.2">
      <c r="A9" s="33"/>
      <c r="B9" s="21" t="s">
        <v>20</v>
      </c>
      <c r="C9" s="18">
        <v>18</v>
      </c>
      <c r="D9" s="18" t="s">
        <v>22</v>
      </c>
      <c r="E9" s="18">
        <v>4.7119999999999997</v>
      </c>
      <c r="F9" s="18" t="s">
        <v>12</v>
      </c>
      <c r="G9" s="19">
        <v>111.83</v>
      </c>
      <c r="H9" s="19">
        <f t="shared" si="0"/>
        <v>167.745</v>
      </c>
      <c r="I9" s="10">
        <v>33</v>
      </c>
    </row>
    <row r="10" spans="1:9" x14ac:dyDescent="0.2">
      <c r="A10" s="33"/>
      <c r="B10" s="20" t="s">
        <v>23</v>
      </c>
      <c r="C10" s="1">
        <v>5</v>
      </c>
      <c r="D10" s="1" t="s">
        <v>15</v>
      </c>
      <c r="E10" s="1">
        <v>5.7960000000000003</v>
      </c>
      <c r="F10" s="1" t="s">
        <v>12</v>
      </c>
      <c r="G10" s="14">
        <v>124.62</v>
      </c>
      <c r="H10" s="14">
        <f t="shared" si="0"/>
        <v>186.93</v>
      </c>
      <c r="I10" s="9">
        <v>50</v>
      </c>
    </row>
    <row r="11" spans="1:9" x14ac:dyDescent="0.2">
      <c r="A11" s="33"/>
      <c r="B11" s="21" t="s">
        <v>24</v>
      </c>
      <c r="C11" s="18">
        <v>19</v>
      </c>
      <c r="D11" s="18" t="s">
        <v>25</v>
      </c>
      <c r="E11" s="18">
        <v>5.125</v>
      </c>
      <c r="F11" s="18" t="s">
        <v>12</v>
      </c>
      <c r="G11" s="19">
        <v>127.9</v>
      </c>
      <c r="H11" s="19">
        <f t="shared" si="0"/>
        <v>191.85000000000002</v>
      </c>
      <c r="I11" s="10"/>
    </row>
    <row r="12" spans="1:9" x14ac:dyDescent="0.2">
      <c r="A12" s="33"/>
      <c r="B12" s="20" t="s">
        <v>26</v>
      </c>
      <c r="C12" s="1">
        <v>15</v>
      </c>
      <c r="D12" s="1" t="s">
        <v>27</v>
      </c>
      <c r="E12" s="1">
        <v>1.56</v>
      </c>
      <c r="F12" s="1" t="s">
        <v>12</v>
      </c>
      <c r="G12" s="14">
        <v>8.83</v>
      </c>
      <c r="H12" s="14">
        <f>G12*2</f>
        <v>17.66</v>
      </c>
      <c r="I12" s="9"/>
    </row>
    <row r="13" spans="1:9" x14ac:dyDescent="0.2">
      <c r="A13" s="33"/>
      <c r="B13" s="21" t="s">
        <v>28</v>
      </c>
      <c r="C13" s="18" t="s">
        <v>29</v>
      </c>
      <c r="D13" s="18">
        <v>6000</v>
      </c>
      <c r="E13" s="18">
        <v>6</v>
      </c>
      <c r="F13" s="18" t="s">
        <v>12</v>
      </c>
      <c r="G13" s="19">
        <v>14.1</v>
      </c>
      <c r="H13" s="19">
        <f t="shared" si="0"/>
        <v>21.15</v>
      </c>
      <c r="I13" s="10">
        <v>225</v>
      </c>
    </row>
    <row r="14" spans="1:9" x14ac:dyDescent="0.2">
      <c r="A14" s="33"/>
      <c r="B14" s="20" t="s">
        <v>28</v>
      </c>
      <c r="C14" s="1" t="s">
        <v>30</v>
      </c>
      <c r="D14" s="1">
        <v>6000</v>
      </c>
      <c r="E14" s="1">
        <v>6</v>
      </c>
      <c r="F14" s="1" t="s">
        <v>12</v>
      </c>
      <c r="G14" s="14">
        <v>10.74</v>
      </c>
      <c r="H14" s="14">
        <f t="shared" si="0"/>
        <v>16.11</v>
      </c>
      <c r="I14" s="9"/>
    </row>
    <row r="15" spans="1:9" ht="17" thickBot="1" x14ac:dyDescent="0.25">
      <c r="A15" s="34"/>
      <c r="B15" s="22" t="s">
        <v>31</v>
      </c>
      <c r="C15" s="3" t="s">
        <v>32</v>
      </c>
      <c r="D15" s="3">
        <v>5000</v>
      </c>
      <c r="E15" s="3">
        <v>5</v>
      </c>
      <c r="F15" s="3" t="s">
        <v>12</v>
      </c>
      <c r="G15" s="15">
        <v>11.05</v>
      </c>
      <c r="H15" s="15">
        <f t="shared" si="0"/>
        <v>16.575000000000003</v>
      </c>
      <c r="I15" s="11">
        <v>112</v>
      </c>
    </row>
    <row r="16" spans="1:9" ht="17" thickTop="1" x14ac:dyDescent="0.2">
      <c r="A16" s="28" t="s">
        <v>33</v>
      </c>
      <c r="B16" s="20" t="s">
        <v>34</v>
      </c>
      <c r="C16" s="1">
        <v>3</v>
      </c>
      <c r="D16" s="1" t="s">
        <v>35</v>
      </c>
      <c r="E16" s="1">
        <v>2.0499999999999998</v>
      </c>
      <c r="F16" s="1" t="s">
        <v>36</v>
      </c>
      <c r="G16" s="14">
        <v>51.5</v>
      </c>
      <c r="H16" s="14">
        <f t="shared" si="0"/>
        <v>77.25</v>
      </c>
      <c r="I16" s="9"/>
    </row>
    <row r="17" spans="1:13" x14ac:dyDescent="0.2">
      <c r="A17" s="28"/>
      <c r="B17" s="21" t="s">
        <v>34</v>
      </c>
      <c r="C17" s="18">
        <v>3</v>
      </c>
      <c r="D17" s="18" t="s">
        <v>37</v>
      </c>
      <c r="E17" s="18">
        <v>4.5</v>
      </c>
      <c r="F17" s="18" t="s">
        <v>36</v>
      </c>
      <c r="G17" s="19">
        <v>115</v>
      </c>
      <c r="H17" s="19">
        <f t="shared" si="0"/>
        <v>172.5</v>
      </c>
      <c r="I17" s="10"/>
      <c r="J17" s="2"/>
      <c r="K17" s="1"/>
      <c r="L17" s="1"/>
      <c r="M17" s="1"/>
    </row>
    <row r="18" spans="1:13" x14ac:dyDescent="0.2">
      <c r="A18" s="28"/>
      <c r="B18" s="20" t="s">
        <v>38</v>
      </c>
      <c r="C18" s="1">
        <v>3</v>
      </c>
      <c r="D18" s="1" t="s">
        <v>37</v>
      </c>
      <c r="E18" s="1">
        <v>4.5</v>
      </c>
      <c r="F18" s="1" t="s">
        <v>36</v>
      </c>
      <c r="G18" s="14">
        <v>152.6</v>
      </c>
      <c r="H18" s="14">
        <f t="shared" si="0"/>
        <v>228.89999999999998</v>
      </c>
      <c r="I18" s="9"/>
    </row>
    <row r="19" spans="1:13" x14ac:dyDescent="0.2">
      <c r="A19" s="28"/>
      <c r="B19" s="21" t="s">
        <v>39</v>
      </c>
      <c r="C19" s="18">
        <v>3</v>
      </c>
      <c r="D19" s="18" t="s">
        <v>37</v>
      </c>
      <c r="E19" s="18">
        <v>4.5</v>
      </c>
      <c r="F19" s="18" t="s">
        <v>36</v>
      </c>
      <c r="G19" s="19">
        <v>159</v>
      </c>
      <c r="H19" s="19">
        <f t="shared" si="0"/>
        <v>238.5</v>
      </c>
      <c r="I19" s="10"/>
    </row>
    <row r="20" spans="1:13" x14ac:dyDescent="0.2">
      <c r="A20" s="28"/>
      <c r="B20" s="20" t="s">
        <v>40</v>
      </c>
      <c r="C20" s="1">
        <v>3</v>
      </c>
      <c r="D20" s="1" t="s">
        <v>41</v>
      </c>
      <c r="E20" s="1">
        <v>6.2530000000000001</v>
      </c>
      <c r="F20" s="1" t="s">
        <v>36</v>
      </c>
      <c r="G20" s="14">
        <v>214</v>
      </c>
      <c r="H20" s="14">
        <f t="shared" si="0"/>
        <v>321</v>
      </c>
      <c r="I20" s="9"/>
    </row>
    <row r="21" spans="1:13" x14ac:dyDescent="0.2">
      <c r="A21" s="28"/>
      <c r="B21" s="21" t="s">
        <v>40</v>
      </c>
      <c r="C21" s="18">
        <v>4</v>
      </c>
      <c r="D21" s="18" t="s">
        <v>41</v>
      </c>
      <c r="E21" s="18">
        <v>6.2530000000000001</v>
      </c>
      <c r="F21" s="18" t="s">
        <v>36</v>
      </c>
      <c r="G21" s="19">
        <v>285</v>
      </c>
      <c r="H21" s="19">
        <f t="shared" si="0"/>
        <v>427.5</v>
      </c>
      <c r="I21" s="10"/>
    </row>
    <row r="22" spans="1:13" x14ac:dyDescent="0.2">
      <c r="A22" s="28"/>
      <c r="B22" s="20" t="s">
        <v>40</v>
      </c>
      <c r="C22" s="1">
        <v>5</v>
      </c>
      <c r="D22" s="1" t="s">
        <v>41</v>
      </c>
      <c r="E22" s="1">
        <v>6.2530000000000001</v>
      </c>
      <c r="F22" s="1" t="s">
        <v>36</v>
      </c>
      <c r="G22" s="14">
        <v>356</v>
      </c>
      <c r="H22" s="14">
        <f>G22*1.5</f>
        <v>534</v>
      </c>
      <c r="I22" s="9"/>
    </row>
    <row r="23" spans="1:13" x14ac:dyDescent="0.2">
      <c r="A23" s="28"/>
      <c r="B23" s="21" t="s">
        <v>42</v>
      </c>
      <c r="C23" s="18">
        <v>3</v>
      </c>
      <c r="D23" s="18" t="s">
        <v>41</v>
      </c>
      <c r="E23" s="18">
        <v>6.2530000000000001</v>
      </c>
      <c r="F23" s="18" t="s">
        <v>36</v>
      </c>
      <c r="G23" s="19">
        <v>178.8</v>
      </c>
      <c r="H23" s="19">
        <f t="shared" si="0"/>
        <v>268.20000000000005</v>
      </c>
      <c r="I23" s="10"/>
    </row>
    <row r="24" spans="1:13" x14ac:dyDescent="0.2">
      <c r="A24" s="28"/>
      <c r="B24" s="20" t="s">
        <v>42</v>
      </c>
      <c r="C24" s="1">
        <v>5</v>
      </c>
      <c r="D24" s="1" t="s">
        <v>41</v>
      </c>
      <c r="E24" s="1">
        <v>6.2530000000000001</v>
      </c>
      <c r="F24" s="1" t="s">
        <v>36</v>
      </c>
      <c r="G24" s="14">
        <v>299</v>
      </c>
      <c r="H24" s="14">
        <f t="shared" si="0"/>
        <v>448.5</v>
      </c>
      <c r="I24" s="9"/>
    </row>
    <row r="25" spans="1:13" x14ac:dyDescent="0.2">
      <c r="A25" s="28"/>
      <c r="B25" s="21" t="s">
        <v>42</v>
      </c>
      <c r="C25" s="18">
        <v>10</v>
      </c>
      <c r="D25" s="18" t="s">
        <v>41</v>
      </c>
      <c r="E25" s="18">
        <v>6.2530000000000001</v>
      </c>
      <c r="F25" s="18" t="s">
        <v>36</v>
      </c>
      <c r="G25" s="19">
        <v>596</v>
      </c>
      <c r="H25" s="19">
        <f t="shared" si="0"/>
        <v>894</v>
      </c>
      <c r="I25" s="10"/>
    </row>
    <row r="26" spans="1:13" x14ac:dyDescent="0.2">
      <c r="A26" s="28"/>
      <c r="B26" s="20" t="s">
        <v>43</v>
      </c>
      <c r="C26" s="1">
        <v>5</v>
      </c>
      <c r="D26" s="1" t="s">
        <v>41</v>
      </c>
      <c r="E26" s="1">
        <v>6.2530000000000001</v>
      </c>
      <c r="F26" s="1" t="s">
        <v>36</v>
      </c>
      <c r="G26" s="14">
        <v>374</v>
      </c>
      <c r="H26" s="14">
        <f t="shared" si="0"/>
        <v>561</v>
      </c>
      <c r="I26" s="9"/>
    </row>
    <row r="27" spans="1:13" x14ac:dyDescent="0.2">
      <c r="A27" s="28"/>
      <c r="B27" s="21" t="s">
        <v>43</v>
      </c>
      <c r="C27" s="18">
        <v>10</v>
      </c>
      <c r="D27" s="18" t="s">
        <v>41</v>
      </c>
      <c r="E27" s="18">
        <v>6.2530000000000001</v>
      </c>
      <c r="F27" s="18" t="s">
        <v>36</v>
      </c>
      <c r="G27" s="19">
        <v>747</v>
      </c>
      <c r="H27" s="19">
        <f t="shared" si="0"/>
        <v>1120.5</v>
      </c>
      <c r="I27" s="10"/>
    </row>
    <row r="28" spans="1:13" ht="17" thickBot="1" x14ac:dyDescent="0.25">
      <c r="A28" s="35"/>
      <c r="B28" s="23" t="s">
        <v>44</v>
      </c>
      <c r="C28" s="4">
        <v>3</v>
      </c>
      <c r="D28" s="4" t="s">
        <v>45</v>
      </c>
      <c r="E28" s="4">
        <v>4.758</v>
      </c>
      <c r="F28" s="4" t="s">
        <v>36</v>
      </c>
      <c r="G28" s="16">
        <v>79.599999999999994</v>
      </c>
      <c r="H28" s="16">
        <f t="shared" si="0"/>
        <v>119.39999999999999</v>
      </c>
      <c r="I28" s="12"/>
    </row>
    <row r="29" spans="1:13" ht="17" thickTop="1" x14ac:dyDescent="0.2">
      <c r="A29" s="33" t="s">
        <v>46</v>
      </c>
      <c r="B29" s="21" t="s">
        <v>108</v>
      </c>
      <c r="C29" s="18" t="s">
        <v>47</v>
      </c>
      <c r="D29" s="18" t="s">
        <v>48</v>
      </c>
      <c r="E29" s="18" t="s">
        <v>49</v>
      </c>
      <c r="F29" s="18" t="s">
        <v>50</v>
      </c>
      <c r="G29" s="19">
        <v>12.23</v>
      </c>
      <c r="H29" s="19">
        <f>G29*1.4</f>
        <v>17.122</v>
      </c>
      <c r="I29" s="10" t="s">
        <v>51</v>
      </c>
      <c r="J29" s="1" t="s">
        <v>109</v>
      </c>
    </row>
    <row r="30" spans="1:13" x14ac:dyDescent="0.2">
      <c r="A30" s="33"/>
      <c r="B30" s="20" t="s">
        <v>106</v>
      </c>
      <c r="C30" s="1" t="s">
        <v>47</v>
      </c>
      <c r="D30" s="1" t="s">
        <v>48</v>
      </c>
      <c r="F30" s="1" t="s">
        <v>107</v>
      </c>
      <c r="G30" s="14">
        <v>11.81</v>
      </c>
      <c r="H30" s="14">
        <v>16.53</v>
      </c>
      <c r="I30" s="9"/>
      <c r="J30" t="s">
        <v>110</v>
      </c>
    </row>
    <row r="31" spans="1:13" x14ac:dyDescent="0.2">
      <c r="A31" s="33"/>
      <c r="B31" s="21" t="s">
        <v>105</v>
      </c>
      <c r="C31" s="18" t="s">
        <v>52</v>
      </c>
      <c r="D31" s="18" t="s">
        <v>53</v>
      </c>
      <c r="E31" s="18"/>
      <c r="F31" s="18" t="s">
        <v>50</v>
      </c>
      <c r="G31" s="19">
        <v>7.75</v>
      </c>
      <c r="H31" s="19">
        <f>G31*1.5</f>
        <v>11.625</v>
      </c>
      <c r="I31" s="10"/>
    </row>
    <row r="32" spans="1:13" x14ac:dyDescent="0.2">
      <c r="A32" s="33"/>
      <c r="B32" s="20" t="s">
        <v>54</v>
      </c>
      <c r="I32" s="9"/>
    </row>
    <row r="33" spans="1:9" ht="17" thickBot="1" x14ac:dyDescent="0.25">
      <c r="A33" s="34"/>
      <c r="B33" s="22"/>
      <c r="C33" s="3"/>
      <c r="D33" s="3"/>
      <c r="E33" s="3"/>
      <c r="F33" s="3"/>
      <c r="G33" s="15"/>
      <c r="H33" s="15"/>
      <c r="I33" s="11"/>
    </row>
    <row r="34" spans="1:9" ht="17" thickTop="1" x14ac:dyDescent="0.2">
      <c r="A34" s="36" t="s">
        <v>55</v>
      </c>
      <c r="B34" s="20" t="s">
        <v>56</v>
      </c>
      <c r="D34" s="1" t="s">
        <v>57</v>
      </c>
      <c r="F34" s="1" t="s">
        <v>58</v>
      </c>
      <c r="G34" s="14">
        <v>4.8</v>
      </c>
      <c r="I34" s="9"/>
    </row>
    <row r="35" spans="1:9" x14ac:dyDescent="0.2">
      <c r="A35" s="33"/>
      <c r="B35" s="21" t="s">
        <v>59</v>
      </c>
      <c r="C35" s="18"/>
      <c r="D35" s="18" t="s">
        <v>57</v>
      </c>
      <c r="E35" s="18"/>
      <c r="F35" s="18" t="s">
        <v>58</v>
      </c>
      <c r="G35" s="19">
        <v>8.3000000000000007</v>
      </c>
      <c r="H35" s="19"/>
      <c r="I35" s="10"/>
    </row>
    <row r="36" spans="1:9" ht="17" thickBot="1" x14ac:dyDescent="0.25">
      <c r="A36" s="37"/>
      <c r="B36" s="23" t="s">
        <v>60</v>
      </c>
      <c r="C36" s="4"/>
      <c r="D36" s="4" t="s">
        <v>61</v>
      </c>
      <c r="E36" s="4"/>
      <c r="F36" s="4" t="s">
        <v>62</v>
      </c>
      <c r="G36" s="16">
        <v>4.5</v>
      </c>
      <c r="H36" s="16"/>
      <c r="I36" s="12"/>
    </row>
    <row r="37" spans="1:9" ht="17" thickTop="1" x14ac:dyDescent="0.2">
      <c r="A37" s="33" t="s">
        <v>63</v>
      </c>
      <c r="B37" s="21" t="s">
        <v>64</v>
      </c>
      <c r="C37" s="18">
        <v>2</v>
      </c>
      <c r="D37" s="18">
        <v>6000</v>
      </c>
      <c r="E37" s="18"/>
      <c r="F37" s="18" t="s">
        <v>65</v>
      </c>
      <c r="G37" s="19">
        <v>19.46</v>
      </c>
      <c r="H37" s="19">
        <f>G37*2</f>
        <v>38.92</v>
      </c>
      <c r="I37" s="10"/>
    </row>
    <row r="38" spans="1:9" ht="15.75" customHeight="1" x14ac:dyDescent="0.2">
      <c r="A38" s="33"/>
      <c r="B38" s="20" t="s">
        <v>66</v>
      </c>
      <c r="C38" s="1">
        <v>2</v>
      </c>
      <c r="D38" s="1">
        <v>6000</v>
      </c>
      <c r="F38" s="1" t="s">
        <v>67</v>
      </c>
      <c r="G38" s="14">
        <v>21.1</v>
      </c>
      <c r="H38" s="14">
        <f>G38*2</f>
        <v>42.2</v>
      </c>
      <c r="I38" s="9"/>
    </row>
    <row r="39" spans="1:9" x14ac:dyDescent="0.2">
      <c r="A39" s="33"/>
      <c r="B39" s="21" t="s">
        <v>68</v>
      </c>
      <c r="C39" s="18">
        <v>2</v>
      </c>
      <c r="D39" s="18">
        <v>6000</v>
      </c>
      <c r="E39" s="18"/>
      <c r="F39" s="18" t="s">
        <v>67</v>
      </c>
      <c r="G39" s="19">
        <v>23.4</v>
      </c>
      <c r="H39" s="19">
        <f>G39*2</f>
        <v>46.8</v>
      </c>
      <c r="I39" s="10"/>
    </row>
    <row r="40" spans="1:9" ht="16.5" customHeight="1" x14ac:dyDescent="0.2">
      <c r="A40" s="33"/>
      <c r="B40" s="20" t="s">
        <v>69</v>
      </c>
      <c r="C40" s="1">
        <v>2</v>
      </c>
      <c r="D40" s="1">
        <v>6000</v>
      </c>
      <c r="F40" s="1" t="s">
        <v>67</v>
      </c>
      <c r="G40" s="14">
        <v>24.35</v>
      </c>
      <c r="H40" s="14">
        <f t="shared" ref="H40:H58" si="1">G40*2</f>
        <v>48.7</v>
      </c>
      <c r="I40" s="9"/>
    </row>
    <row r="41" spans="1:9" ht="15.75" customHeight="1" x14ac:dyDescent="0.2">
      <c r="A41" s="33"/>
      <c r="B41" s="21" t="s">
        <v>70</v>
      </c>
      <c r="C41" s="18">
        <v>2</v>
      </c>
      <c r="D41" s="18">
        <v>6000</v>
      </c>
      <c r="E41" s="18"/>
      <c r="F41" s="18" t="s">
        <v>65</v>
      </c>
      <c r="G41" s="19">
        <v>29.4</v>
      </c>
      <c r="H41" s="19">
        <f t="shared" si="1"/>
        <v>58.8</v>
      </c>
      <c r="I41" s="10"/>
    </row>
    <row r="42" spans="1:9" x14ac:dyDescent="0.2">
      <c r="A42" s="33"/>
      <c r="B42" s="20" t="s">
        <v>71</v>
      </c>
      <c r="C42" s="1">
        <v>2</v>
      </c>
      <c r="D42" s="1">
        <v>6000</v>
      </c>
      <c r="F42" s="1" t="s">
        <v>67</v>
      </c>
      <c r="G42" s="14">
        <v>45.9</v>
      </c>
      <c r="H42" s="14">
        <f t="shared" si="1"/>
        <v>91.8</v>
      </c>
      <c r="I42" s="9"/>
    </row>
    <row r="43" spans="1:9" x14ac:dyDescent="0.2">
      <c r="A43" s="33"/>
      <c r="B43" s="21" t="s">
        <v>72</v>
      </c>
      <c r="C43" s="18">
        <v>3</v>
      </c>
      <c r="D43" s="18">
        <v>6000</v>
      </c>
      <c r="E43" s="18"/>
      <c r="F43" s="18" t="s">
        <v>67</v>
      </c>
      <c r="G43" s="19">
        <v>71.73</v>
      </c>
      <c r="H43" s="19">
        <f t="shared" si="1"/>
        <v>143.46</v>
      </c>
      <c r="I43" s="10"/>
    </row>
    <row r="44" spans="1:9" ht="15.75" customHeight="1" x14ac:dyDescent="0.2">
      <c r="A44" s="33"/>
      <c r="B44" s="20" t="s">
        <v>73</v>
      </c>
      <c r="C44" s="1">
        <v>2</v>
      </c>
      <c r="D44" s="1">
        <v>6000</v>
      </c>
      <c r="F44" s="1" t="s">
        <v>67</v>
      </c>
      <c r="G44" s="14">
        <v>33.67</v>
      </c>
      <c r="H44" s="14">
        <f t="shared" si="1"/>
        <v>67.34</v>
      </c>
      <c r="I44" s="9"/>
    </row>
    <row r="45" spans="1:9" x14ac:dyDescent="0.2">
      <c r="A45" s="33"/>
      <c r="B45" s="21" t="s">
        <v>74</v>
      </c>
      <c r="C45" s="18">
        <v>3</v>
      </c>
      <c r="D45" s="18">
        <v>6000</v>
      </c>
      <c r="E45" s="18"/>
      <c r="F45" s="18" t="s">
        <v>67</v>
      </c>
      <c r="G45" s="19">
        <v>65.22</v>
      </c>
      <c r="H45" s="19">
        <f t="shared" si="1"/>
        <v>130.44</v>
      </c>
      <c r="I45" s="10"/>
    </row>
    <row r="46" spans="1:9" ht="16" customHeight="1" x14ac:dyDescent="0.2">
      <c r="A46" s="33"/>
      <c r="B46" s="20" t="s">
        <v>75</v>
      </c>
      <c r="C46" s="1">
        <v>3</v>
      </c>
      <c r="D46" s="1">
        <v>6000</v>
      </c>
      <c r="F46" s="1" t="s">
        <v>67</v>
      </c>
      <c r="G46" s="14">
        <v>15.38</v>
      </c>
      <c r="H46" s="14">
        <f t="shared" si="1"/>
        <v>30.76</v>
      </c>
      <c r="I46" s="9"/>
    </row>
    <row r="47" spans="1:9" ht="15.75" customHeight="1" x14ac:dyDescent="0.2">
      <c r="A47" s="33"/>
      <c r="B47" s="21" t="s">
        <v>76</v>
      </c>
      <c r="C47" s="18">
        <v>3</v>
      </c>
      <c r="D47" s="18">
        <v>6000</v>
      </c>
      <c r="E47" s="18"/>
      <c r="F47" s="18" t="s">
        <v>67</v>
      </c>
      <c r="G47" s="19">
        <v>18.149999999999999</v>
      </c>
      <c r="H47" s="19">
        <f t="shared" si="1"/>
        <v>36.299999999999997</v>
      </c>
      <c r="I47" s="10"/>
    </row>
    <row r="48" spans="1:9" x14ac:dyDescent="0.2">
      <c r="A48" s="33"/>
      <c r="B48" s="20" t="s">
        <v>77</v>
      </c>
      <c r="C48" s="1">
        <v>3</v>
      </c>
      <c r="D48" s="1">
        <v>6000</v>
      </c>
      <c r="F48" s="1" t="s">
        <v>67</v>
      </c>
      <c r="G48" s="14">
        <v>20.9</v>
      </c>
      <c r="H48" s="14">
        <f t="shared" si="1"/>
        <v>41.8</v>
      </c>
      <c r="I48" s="9"/>
    </row>
    <row r="49" spans="1:9" x14ac:dyDescent="0.2">
      <c r="A49" s="33"/>
      <c r="B49" s="21" t="s">
        <v>78</v>
      </c>
      <c r="C49" s="18">
        <v>3</v>
      </c>
      <c r="D49" s="18">
        <v>6000</v>
      </c>
      <c r="E49" s="18"/>
      <c r="F49" s="18" t="s">
        <v>65</v>
      </c>
      <c r="G49" s="19">
        <v>33.11</v>
      </c>
      <c r="H49" s="19">
        <f t="shared" si="1"/>
        <v>66.22</v>
      </c>
      <c r="I49" s="10"/>
    </row>
    <row r="50" spans="1:9" ht="15.75" customHeight="1" x14ac:dyDescent="0.2">
      <c r="A50" s="33"/>
      <c r="B50" s="20" t="s">
        <v>79</v>
      </c>
      <c r="C50" s="1">
        <v>3</v>
      </c>
      <c r="D50" s="1">
        <v>6000</v>
      </c>
      <c r="F50" s="1" t="s">
        <v>65</v>
      </c>
      <c r="G50" s="14">
        <v>30.22</v>
      </c>
      <c r="H50" s="14">
        <f t="shared" si="1"/>
        <v>60.44</v>
      </c>
      <c r="I50" s="9"/>
    </row>
    <row r="51" spans="1:9" x14ac:dyDescent="0.2">
      <c r="A51" s="33"/>
      <c r="B51" s="21" t="s">
        <v>80</v>
      </c>
      <c r="C51" s="18">
        <v>2</v>
      </c>
      <c r="D51" s="18">
        <v>6000</v>
      </c>
      <c r="E51" s="18"/>
      <c r="F51" s="18" t="s">
        <v>65</v>
      </c>
      <c r="G51" s="19">
        <v>18.100000000000001</v>
      </c>
      <c r="H51" s="19">
        <f t="shared" si="1"/>
        <v>36.200000000000003</v>
      </c>
      <c r="I51" s="10"/>
    </row>
    <row r="52" spans="1:9" x14ac:dyDescent="0.2">
      <c r="A52" s="33"/>
      <c r="B52" s="20" t="s">
        <v>81</v>
      </c>
      <c r="C52" s="1">
        <v>3</v>
      </c>
      <c r="D52" s="1">
        <v>3000</v>
      </c>
      <c r="F52" s="1" t="s">
        <v>67</v>
      </c>
      <c r="G52" s="14">
        <v>4.33</v>
      </c>
      <c r="H52" s="14">
        <f t="shared" si="1"/>
        <v>8.66</v>
      </c>
      <c r="I52" s="9"/>
    </row>
    <row r="53" spans="1:9" ht="15.75" customHeight="1" x14ac:dyDescent="0.2">
      <c r="A53" s="33"/>
      <c r="B53" s="21" t="s">
        <v>82</v>
      </c>
      <c r="C53" s="18">
        <v>3</v>
      </c>
      <c r="D53" s="18">
        <v>3000</v>
      </c>
      <c r="E53" s="18"/>
      <c r="F53" s="18" t="s">
        <v>67</v>
      </c>
      <c r="G53" s="19">
        <v>5.95</v>
      </c>
      <c r="H53" s="19">
        <f t="shared" si="1"/>
        <v>11.9</v>
      </c>
      <c r="I53" s="10"/>
    </row>
    <row r="54" spans="1:9" x14ac:dyDescent="0.2">
      <c r="A54" s="33"/>
      <c r="B54" s="20" t="s">
        <v>83</v>
      </c>
      <c r="C54" s="1">
        <v>3</v>
      </c>
      <c r="D54" s="1">
        <v>3000</v>
      </c>
      <c r="F54" s="1" t="s">
        <v>67</v>
      </c>
      <c r="G54" s="14">
        <v>8.33</v>
      </c>
      <c r="H54" s="14">
        <f>G54*2</f>
        <v>16.66</v>
      </c>
      <c r="I54" s="9"/>
    </row>
    <row r="55" spans="1:9" x14ac:dyDescent="0.2">
      <c r="A55" s="33"/>
      <c r="B55" s="21" t="s">
        <v>84</v>
      </c>
      <c r="C55" s="18">
        <v>3</v>
      </c>
      <c r="D55" s="18">
        <v>3000</v>
      </c>
      <c r="E55" s="18"/>
      <c r="F55" s="18" t="s">
        <v>67</v>
      </c>
      <c r="G55" s="19">
        <v>10.5</v>
      </c>
      <c r="H55" s="19">
        <f t="shared" si="1"/>
        <v>21</v>
      </c>
      <c r="I55" s="10"/>
    </row>
    <row r="56" spans="1:9" ht="15.75" customHeight="1" x14ac:dyDescent="0.2">
      <c r="A56" s="33"/>
      <c r="B56" s="20" t="s">
        <v>85</v>
      </c>
      <c r="C56" s="1">
        <v>3</v>
      </c>
      <c r="D56" s="1">
        <v>3000</v>
      </c>
      <c r="F56" s="1" t="s">
        <v>67</v>
      </c>
      <c r="G56" s="14">
        <v>55.11</v>
      </c>
      <c r="H56" s="14">
        <f t="shared" si="1"/>
        <v>110.22</v>
      </c>
      <c r="I56" s="9"/>
    </row>
    <row r="57" spans="1:9" x14ac:dyDescent="0.2">
      <c r="A57" s="33"/>
      <c r="B57" s="21" t="s">
        <v>86</v>
      </c>
      <c r="C57" s="18">
        <v>1</v>
      </c>
      <c r="D57" s="18" t="s">
        <v>87</v>
      </c>
      <c r="E57" s="18"/>
      <c r="F57" s="18" t="s">
        <v>65</v>
      </c>
      <c r="G57" s="19">
        <v>60.02</v>
      </c>
      <c r="H57" s="19">
        <f t="shared" si="1"/>
        <v>120.04</v>
      </c>
      <c r="I57" s="10"/>
    </row>
    <row r="58" spans="1:9" x14ac:dyDescent="0.2">
      <c r="A58" s="33"/>
      <c r="B58" s="20" t="s">
        <v>88</v>
      </c>
      <c r="C58" s="1">
        <v>3</v>
      </c>
      <c r="D58" s="1" t="s">
        <v>89</v>
      </c>
      <c r="F58" s="1" t="s">
        <v>67</v>
      </c>
      <c r="G58" s="14">
        <v>98.79</v>
      </c>
      <c r="H58" s="14">
        <f t="shared" si="1"/>
        <v>197.58</v>
      </c>
      <c r="I58" s="9"/>
    </row>
    <row r="59" spans="1:9" ht="17" thickBot="1" x14ac:dyDescent="0.25">
      <c r="A59" s="37"/>
      <c r="B59" s="22" t="s">
        <v>90</v>
      </c>
      <c r="C59" s="3">
        <v>3.8</v>
      </c>
      <c r="D59" s="3" t="s">
        <v>91</v>
      </c>
      <c r="E59" s="3"/>
      <c r="F59" s="3" t="s">
        <v>65</v>
      </c>
      <c r="G59" s="15">
        <v>116.26</v>
      </c>
      <c r="H59" s="15">
        <f>G59*2</f>
        <v>232.52</v>
      </c>
      <c r="I59" s="11"/>
    </row>
    <row r="60" spans="1:9" ht="17" thickTop="1" x14ac:dyDescent="0.2">
      <c r="A60" s="30" t="s">
        <v>92</v>
      </c>
      <c r="B60" s="20" t="s">
        <v>93</v>
      </c>
      <c r="C60" s="1">
        <v>4</v>
      </c>
      <c r="D60" s="1">
        <v>6000</v>
      </c>
      <c r="F60" s="1" t="s">
        <v>94</v>
      </c>
      <c r="G60" s="14">
        <v>42.31</v>
      </c>
      <c r="H60" s="14">
        <f>G60*2</f>
        <v>84.62</v>
      </c>
      <c r="I60" s="9"/>
    </row>
    <row r="61" spans="1:9" x14ac:dyDescent="0.2">
      <c r="A61" s="30"/>
      <c r="B61" s="21" t="s">
        <v>95</v>
      </c>
      <c r="C61" s="18"/>
      <c r="D61" s="18"/>
      <c r="E61" s="18"/>
      <c r="F61" s="18"/>
      <c r="G61" s="19"/>
      <c r="H61" s="19">
        <f t="shared" ref="H61:H70" si="2">G61*2</f>
        <v>0</v>
      </c>
      <c r="I61" s="10"/>
    </row>
    <row r="62" spans="1:9" x14ac:dyDescent="0.2">
      <c r="A62" s="30"/>
      <c r="B62" s="20" t="s">
        <v>96</v>
      </c>
      <c r="H62" s="14">
        <f t="shared" si="2"/>
        <v>0</v>
      </c>
      <c r="I62" s="9"/>
    </row>
    <row r="63" spans="1:9" x14ac:dyDescent="0.2">
      <c r="A63" s="30"/>
      <c r="B63" s="21" t="s">
        <v>97</v>
      </c>
      <c r="C63" s="18"/>
      <c r="D63" s="18"/>
      <c r="E63" s="18"/>
      <c r="F63" s="18"/>
      <c r="G63" s="19"/>
      <c r="H63" s="19">
        <f t="shared" si="2"/>
        <v>0</v>
      </c>
      <c r="I63" s="10"/>
    </row>
    <row r="64" spans="1:9" x14ac:dyDescent="0.2">
      <c r="A64" s="30"/>
      <c r="B64" s="20" t="s">
        <v>98</v>
      </c>
      <c r="H64" s="14">
        <f t="shared" si="2"/>
        <v>0</v>
      </c>
      <c r="I64" s="9"/>
    </row>
    <row r="65" spans="1:9" ht="16" customHeight="1" x14ac:dyDescent="0.2">
      <c r="A65" s="30"/>
      <c r="B65" s="21" t="s">
        <v>99</v>
      </c>
      <c r="C65" s="18"/>
      <c r="D65" s="18"/>
      <c r="E65" s="18"/>
      <c r="F65" s="18"/>
      <c r="G65" s="19"/>
      <c r="H65" s="19">
        <f t="shared" si="2"/>
        <v>0</v>
      </c>
      <c r="I65" s="10"/>
    </row>
    <row r="66" spans="1:9" ht="16" customHeight="1" x14ac:dyDescent="0.2">
      <c r="A66" s="30"/>
      <c r="B66" s="20" t="s">
        <v>100</v>
      </c>
      <c r="H66" s="14">
        <f t="shared" si="2"/>
        <v>0</v>
      </c>
      <c r="I66" s="9"/>
    </row>
    <row r="67" spans="1:9" ht="16" customHeight="1" x14ac:dyDescent="0.2">
      <c r="A67" s="30"/>
      <c r="B67" s="21" t="s">
        <v>101</v>
      </c>
      <c r="C67" s="18"/>
      <c r="D67" s="18"/>
      <c r="E67" s="18"/>
      <c r="F67" s="18"/>
      <c r="G67" s="19"/>
      <c r="H67" s="19">
        <f t="shared" si="2"/>
        <v>0</v>
      </c>
      <c r="I67" s="10"/>
    </row>
    <row r="68" spans="1:9" ht="16" customHeight="1" x14ac:dyDescent="0.2">
      <c r="A68" s="30"/>
      <c r="B68" s="20" t="s">
        <v>102</v>
      </c>
      <c r="H68" s="14">
        <f t="shared" si="2"/>
        <v>0</v>
      </c>
      <c r="I68" s="9"/>
    </row>
    <row r="69" spans="1:9" ht="16" customHeight="1" x14ac:dyDescent="0.2">
      <c r="A69" s="30"/>
      <c r="B69" s="21" t="s">
        <v>103</v>
      </c>
      <c r="C69" s="18"/>
      <c r="D69" s="18"/>
      <c r="E69" s="18"/>
      <c r="F69" s="18"/>
      <c r="G69" s="19"/>
      <c r="H69" s="19">
        <f t="shared" si="2"/>
        <v>0</v>
      </c>
      <c r="I69" s="10"/>
    </row>
    <row r="70" spans="1:9" ht="16" customHeight="1" thickBot="1" x14ac:dyDescent="0.25">
      <c r="A70" s="31"/>
      <c r="B70" s="23" t="s">
        <v>104</v>
      </c>
      <c r="C70" s="4"/>
      <c r="D70" s="4"/>
      <c r="E70" s="4"/>
      <c r="F70" s="4"/>
      <c r="G70" s="16"/>
      <c r="H70" s="16">
        <f t="shared" si="2"/>
        <v>0</v>
      </c>
      <c r="I70" s="12"/>
    </row>
    <row r="71" spans="1:9" ht="17" thickTop="1" x14ac:dyDescent="0.2">
      <c r="A71" s="28" t="s">
        <v>118</v>
      </c>
      <c r="B71" s="21" t="s">
        <v>111</v>
      </c>
      <c r="C71" s="18"/>
      <c r="D71" s="18"/>
      <c r="E71" s="18"/>
      <c r="F71" s="18"/>
      <c r="G71" s="19">
        <v>1.8</v>
      </c>
      <c r="H71" s="19">
        <v>2.16</v>
      </c>
      <c r="I71" s="10"/>
    </row>
    <row r="72" spans="1:9" x14ac:dyDescent="0.2">
      <c r="A72" s="28"/>
      <c r="B72" s="20" t="s">
        <v>112</v>
      </c>
      <c r="G72" s="14">
        <v>0</v>
      </c>
      <c r="H72" s="14">
        <v>0</v>
      </c>
      <c r="I72" s="9"/>
    </row>
    <row r="73" spans="1:9" x14ac:dyDescent="0.2">
      <c r="A73" s="28"/>
      <c r="B73" s="21" t="s">
        <v>113</v>
      </c>
      <c r="C73" s="18"/>
      <c r="D73" s="18"/>
      <c r="E73" s="18"/>
      <c r="F73" s="18"/>
      <c r="G73" s="19">
        <v>9.6</v>
      </c>
      <c r="H73" s="19">
        <v>11.52</v>
      </c>
      <c r="I73" s="10"/>
    </row>
    <row r="74" spans="1:9" x14ac:dyDescent="0.2">
      <c r="A74" s="28"/>
      <c r="B74" s="20" t="s">
        <v>114</v>
      </c>
      <c r="G74" s="14">
        <v>5.8</v>
      </c>
      <c r="H74" s="14">
        <v>6.96</v>
      </c>
      <c r="I74" s="9"/>
    </row>
    <row r="75" spans="1:9" x14ac:dyDescent="0.2">
      <c r="A75" s="28"/>
      <c r="B75" s="21" t="s">
        <v>115</v>
      </c>
      <c r="C75" s="18"/>
      <c r="D75" s="18"/>
      <c r="E75" s="18"/>
      <c r="F75" s="18"/>
      <c r="G75" s="19">
        <v>3.33</v>
      </c>
      <c r="H75" s="19">
        <v>4</v>
      </c>
      <c r="I75" s="10"/>
    </row>
    <row r="76" spans="1:9" x14ac:dyDescent="0.2">
      <c r="A76" s="28"/>
      <c r="B76" s="20" t="s">
        <v>116</v>
      </c>
      <c r="G76" s="14">
        <v>4.17</v>
      </c>
      <c r="H76" s="14">
        <v>5</v>
      </c>
      <c r="I76" s="9"/>
    </row>
    <row r="77" spans="1:9" ht="17" thickBot="1" x14ac:dyDescent="0.25">
      <c r="A77" s="28"/>
      <c r="B77" s="22" t="s">
        <v>117</v>
      </c>
      <c r="C77" s="3"/>
      <c r="D77" s="3"/>
      <c r="E77" s="3"/>
      <c r="F77" s="3"/>
      <c r="G77" s="15">
        <v>3.08</v>
      </c>
      <c r="H77" s="15">
        <v>3.7</v>
      </c>
      <c r="I77" s="11"/>
    </row>
    <row r="78" spans="1:9" ht="17" thickTop="1" x14ac:dyDescent="0.2">
      <c r="A78" s="24" t="s">
        <v>119</v>
      </c>
      <c r="B78" s="20" t="s">
        <v>120</v>
      </c>
      <c r="G78" s="14">
        <v>38</v>
      </c>
      <c r="H78" s="14">
        <v>45.6</v>
      </c>
      <c r="I78" s="9"/>
    </row>
    <row r="79" spans="1:9" x14ac:dyDescent="0.2">
      <c r="A79" s="25"/>
      <c r="B79" s="21" t="s">
        <v>121</v>
      </c>
      <c r="C79" s="18"/>
      <c r="D79" s="18"/>
      <c r="E79" s="18"/>
      <c r="F79" s="18"/>
      <c r="G79" s="19">
        <v>4.9400000000000004</v>
      </c>
      <c r="H79" s="19">
        <v>5.93</v>
      </c>
      <c r="I79" s="10"/>
    </row>
    <row r="80" spans="1:9" x14ac:dyDescent="0.2">
      <c r="A80" s="25"/>
      <c r="B80" s="20" t="s">
        <v>122</v>
      </c>
      <c r="G80" s="14">
        <v>13.73</v>
      </c>
      <c r="H80" s="14">
        <v>16.48</v>
      </c>
      <c r="I80" s="9"/>
    </row>
    <row r="81" spans="1:9" x14ac:dyDescent="0.2">
      <c r="A81" s="25"/>
      <c r="B81" s="21" t="s">
        <v>123</v>
      </c>
      <c r="C81" s="18"/>
      <c r="D81" s="18"/>
      <c r="E81" s="18"/>
      <c r="F81" s="18"/>
      <c r="G81" s="19">
        <v>12.46</v>
      </c>
      <c r="H81" s="19">
        <v>14.95</v>
      </c>
      <c r="I81" s="10"/>
    </row>
    <row r="82" spans="1:9" x14ac:dyDescent="0.2">
      <c r="A82" s="25"/>
      <c r="B82" s="20" t="s">
        <v>124</v>
      </c>
      <c r="G82" s="14">
        <v>14.96</v>
      </c>
      <c r="H82" s="14">
        <v>17.95</v>
      </c>
      <c r="I82" s="9"/>
    </row>
    <row r="83" spans="1:9" x14ac:dyDescent="0.2">
      <c r="A83" s="25"/>
      <c r="B83" s="21" t="s">
        <v>125</v>
      </c>
      <c r="C83" s="18"/>
      <c r="D83" s="18"/>
      <c r="E83" s="18"/>
      <c r="F83" s="18"/>
      <c r="G83" s="19">
        <v>0</v>
      </c>
      <c r="H83" s="19">
        <v>0</v>
      </c>
      <c r="I83" s="10"/>
    </row>
    <row r="84" spans="1:9" x14ac:dyDescent="0.2">
      <c r="A84" s="25"/>
      <c r="B84" s="20" t="s">
        <v>126</v>
      </c>
      <c r="G84" s="14">
        <v>13.95</v>
      </c>
      <c r="H84" s="14">
        <v>16.739999999999998</v>
      </c>
      <c r="I84" s="9"/>
    </row>
    <row r="85" spans="1:9" x14ac:dyDescent="0.2">
      <c r="A85" s="25"/>
      <c r="B85" s="21" t="s">
        <v>127</v>
      </c>
      <c r="C85" s="18"/>
      <c r="D85" s="18"/>
      <c r="E85" s="18"/>
      <c r="F85" s="18"/>
      <c r="G85" s="19">
        <v>0</v>
      </c>
      <c r="H85" s="19">
        <v>0</v>
      </c>
      <c r="I85" s="10"/>
    </row>
    <row r="86" spans="1:9" x14ac:dyDescent="0.2">
      <c r="A86" s="26"/>
      <c r="B86" s="20" t="s">
        <v>128</v>
      </c>
      <c r="G86" s="14">
        <v>71.62</v>
      </c>
      <c r="H86" s="14">
        <v>85.94</v>
      </c>
      <c r="I86" s="9"/>
    </row>
    <row r="87" spans="1:9" x14ac:dyDescent="0.2">
      <c r="A87" s="26"/>
      <c r="B87" s="21" t="s">
        <v>129</v>
      </c>
      <c r="C87" s="18"/>
      <c r="D87" s="18"/>
      <c r="E87" s="18"/>
      <c r="F87" s="18"/>
      <c r="G87" s="19">
        <v>26.63</v>
      </c>
      <c r="H87" s="19">
        <v>31.96</v>
      </c>
      <c r="I87" s="10"/>
    </row>
    <row r="88" spans="1:9" x14ac:dyDescent="0.2">
      <c r="A88" s="26"/>
      <c r="B88" s="20" t="s">
        <v>130</v>
      </c>
      <c r="G88" s="14">
        <v>0</v>
      </c>
      <c r="H88" s="14">
        <v>0</v>
      </c>
      <c r="I88" s="9"/>
    </row>
    <row r="89" spans="1:9" ht="17" thickBot="1" x14ac:dyDescent="0.25">
      <c r="A89" s="27"/>
      <c r="B89" s="22" t="s">
        <v>131</v>
      </c>
      <c r="C89" s="3"/>
      <c r="D89" s="3"/>
      <c r="E89" s="3"/>
      <c r="F89" s="3"/>
      <c r="G89" s="15">
        <v>0</v>
      </c>
      <c r="H89" s="15">
        <v>0</v>
      </c>
      <c r="I89" s="11"/>
    </row>
    <row r="90" spans="1:9" ht="17" thickTop="1" x14ac:dyDescent="0.2">
      <c r="A90" s="29" t="s">
        <v>132</v>
      </c>
      <c r="B90" s="20" t="s">
        <v>133</v>
      </c>
      <c r="G90" s="14">
        <v>31.25</v>
      </c>
      <c r="H90" s="14">
        <v>37.5</v>
      </c>
      <c r="I90" s="9"/>
    </row>
    <row r="91" spans="1:9" x14ac:dyDescent="0.2">
      <c r="A91" s="28"/>
      <c r="B91" s="21" t="s">
        <v>134</v>
      </c>
      <c r="C91" s="18"/>
      <c r="D91" s="18"/>
      <c r="E91" s="18"/>
      <c r="F91" s="18"/>
      <c r="G91" s="19">
        <v>12</v>
      </c>
      <c r="H91" s="19">
        <v>14.4</v>
      </c>
      <c r="I91" s="10"/>
    </row>
    <row r="92" spans="1:9" x14ac:dyDescent="0.2">
      <c r="A92" s="28"/>
      <c r="B92" s="20" t="s">
        <v>135</v>
      </c>
      <c r="G92" s="14">
        <v>11.63</v>
      </c>
      <c r="H92" s="14">
        <v>13.96</v>
      </c>
      <c r="I92" s="9"/>
    </row>
    <row r="93" spans="1:9" x14ac:dyDescent="0.2">
      <c r="A93" s="28"/>
      <c r="B93" s="21" t="s">
        <v>136</v>
      </c>
      <c r="C93" s="18"/>
      <c r="D93" s="18"/>
      <c r="E93" s="18"/>
      <c r="F93" s="18"/>
      <c r="G93" s="19">
        <v>0</v>
      </c>
      <c r="H93" s="19">
        <v>0</v>
      </c>
      <c r="I93" s="10"/>
    </row>
    <row r="94" spans="1:9" x14ac:dyDescent="0.2">
      <c r="A94" s="28"/>
      <c r="B94" s="20" t="s">
        <v>137</v>
      </c>
      <c r="G94" s="14">
        <v>0</v>
      </c>
      <c r="H94" s="14">
        <v>0</v>
      </c>
      <c r="I94" s="9"/>
    </row>
    <row r="95" spans="1:9" x14ac:dyDescent="0.2">
      <c r="A95" s="28"/>
      <c r="B95" s="21" t="s">
        <v>138</v>
      </c>
      <c r="C95" s="18"/>
      <c r="D95" s="18"/>
      <c r="E95" s="18"/>
      <c r="F95" s="18"/>
      <c r="G95" s="19">
        <v>0</v>
      </c>
      <c r="H95" s="19">
        <v>0</v>
      </c>
      <c r="I95" s="10"/>
    </row>
    <row r="96" spans="1:9" ht="17" thickBot="1" x14ac:dyDescent="0.25">
      <c r="A96" s="28"/>
      <c r="B96" s="23" t="s">
        <v>139</v>
      </c>
      <c r="C96" s="4"/>
      <c r="D96" s="4"/>
      <c r="E96" s="4"/>
      <c r="F96" s="4"/>
      <c r="G96" s="16">
        <v>0</v>
      </c>
      <c r="H96" s="16">
        <v>0</v>
      </c>
      <c r="I96" s="12"/>
    </row>
    <row r="97" spans="1:9" ht="17" thickTop="1" x14ac:dyDescent="0.2">
      <c r="A97" s="24" t="s">
        <v>140</v>
      </c>
      <c r="B97" s="21" t="s">
        <v>141</v>
      </c>
      <c r="C97" s="18"/>
      <c r="D97" s="18"/>
      <c r="E97" s="18"/>
      <c r="F97" s="18"/>
      <c r="G97" s="19">
        <v>51</v>
      </c>
      <c r="H97" s="19">
        <v>61.2</v>
      </c>
      <c r="I97" s="10"/>
    </row>
    <row r="98" spans="1:9" x14ac:dyDescent="0.2">
      <c r="A98" s="25"/>
      <c r="B98" s="20" t="s">
        <v>142</v>
      </c>
      <c r="G98" s="14">
        <v>0.34</v>
      </c>
      <c r="H98" s="14">
        <v>0.41</v>
      </c>
      <c r="I98" s="9"/>
    </row>
    <row r="99" spans="1:9" x14ac:dyDescent="0.2">
      <c r="A99" s="25"/>
      <c r="B99" s="21" t="s">
        <v>143</v>
      </c>
      <c r="C99" s="18"/>
      <c r="D99" s="18"/>
      <c r="E99" s="18"/>
      <c r="F99" s="18"/>
      <c r="G99" s="19">
        <v>1.85</v>
      </c>
      <c r="H99" s="19">
        <v>2.2200000000000002</v>
      </c>
      <c r="I99" s="10"/>
    </row>
    <row r="100" spans="1:9" x14ac:dyDescent="0.2">
      <c r="A100" s="25"/>
      <c r="B100" s="20" t="s">
        <v>144</v>
      </c>
      <c r="G100" s="14">
        <v>7.5</v>
      </c>
      <c r="H100" s="14">
        <v>9</v>
      </c>
      <c r="I100" s="9"/>
    </row>
    <row r="101" spans="1:9" x14ac:dyDescent="0.2">
      <c r="A101" s="25"/>
      <c r="B101" s="21" t="s">
        <v>145</v>
      </c>
      <c r="C101" s="18"/>
      <c r="D101" s="18"/>
      <c r="E101" s="18"/>
      <c r="F101" s="18"/>
      <c r="G101" s="19">
        <v>3.18</v>
      </c>
      <c r="H101" s="19">
        <v>3.82</v>
      </c>
      <c r="I101" s="10"/>
    </row>
    <row r="102" spans="1:9" x14ac:dyDescent="0.2">
      <c r="A102" s="25"/>
      <c r="B102" s="20" t="s">
        <v>146</v>
      </c>
      <c r="G102" s="14">
        <v>5</v>
      </c>
      <c r="H102" s="14">
        <v>6</v>
      </c>
      <c r="I102" s="9"/>
    </row>
    <row r="103" spans="1:9" x14ac:dyDescent="0.2">
      <c r="A103" s="25"/>
      <c r="B103" s="21" t="s">
        <v>147</v>
      </c>
      <c r="C103" s="18"/>
      <c r="D103" s="18"/>
      <c r="E103" s="18"/>
      <c r="F103" s="18"/>
      <c r="G103" s="19">
        <v>36</v>
      </c>
      <c r="H103" s="19">
        <v>43.2</v>
      </c>
      <c r="I103" s="10"/>
    </row>
    <row r="104" spans="1:9" ht="17" customHeight="1" x14ac:dyDescent="0.2">
      <c r="A104" s="26"/>
      <c r="B104" s="20" t="s">
        <v>148</v>
      </c>
      <c r="G104" s="14">
        <v>0</v>
      </c>
      <c r="H104" s="14">
        <v>0</v>
      </c>
      <c r="I104" s="9"/>
    </row>
    <row r="105" spans="1:9" ht="17" thickBot="1" x14ac:dyDescent="0.25">
      <c r="A105" s="26"/>
      <c r="B105" s="22" t="s">
        <v>149</v>
      </c>
      <c r="C105" s="3"/>
      <c r="D105" s="3"/>
      <c r="E105" s="3"/>
      <c r="F105" s="3"/>
      <c r="G105" s="15">
        <v>95</v>
      </c>
      <c r="H105" s="15">
        <v>114</v>
      </c>
      <c r="I105" s="11"/>
    </row>
    <row r="106" spans="1:9" ht="17" thickTop="1" x14ac:dyDescent="0.2">
      <c r="A106" s="24" t="s">
        <v>150</v>
      </c>
      <c r="B106" s="20" t="s">
        <v>151</v>
      </c>
      <c r="G106" s="14">
        <v>0.4</v>
      </c>
      <c r="H106" s="14">
        <v>0.48</v>
      </c>
      <c r="I106" s="9"/>
    </row>
    <row r="107" spans="1:9" x14ac:dyDescent="0.2">
      <c r="A107" s="25"/>
      <c r="B107" s="21" t="s">
        <v>152</v>
      </c>
      <c r="C107" s="18"/>
      <c r="D107" s="18"/>
      <c r="E107" s="18"/>
      <c r="F107" s="18"/>
      <c r="G107" s="19">
        <v>10.79</v>
      </c>
      <c r="H107" s="19">
        <v>12.95</v>
      </c>
      <c r="I107" s="10"/>
    </row>
    <row r="108" spans="1:9" x14ac:dyDescent="0.2">
      <c r="A108" s="25"/>
      <c r="B108" s="20" t="s">
        <v>153</v>
      </c>
      <c r="G108" s="14">
        <v>34.479999999999997</v>
      </c>
      <c r="H108" s="14">
        <v>41.38</v>
      </c>
      <c r="I108" s="9"/>
    </row>
    <row r="109" spans="1:9" x14ac:dyDescent="0.2">
      <c r="A109" s="25"/>
      <c r="B109" s="21" t="s">
        <v>154</v>
      </c>
      <c r="C109" s="18"/>
      <c r="D109" s="18"/>
      <c r="E109" s="18"/>
      <c r="F109" s="18"/>
      <c r="G109" s="19">
        <v>4.92</v>
      </c>
      <c r="H109" s="19">
        <v>5.9</v>
      </c>
      <c r="I109" s="10"/>
    </row>
    <row r="110" spans="1:9" ht="17" thickBot="1" x14ac:dyDescent="0.25">
      <c r="A110" s="25"/>
      <c r="B110" s="23" t="s">
        <v>155</v>
      </c>
      <c r="C110" s="4"/>
      <c r="D110" s="4"/>
      <c r="E110" s="4"/>
      <c r="F110" s="4"/>
      <c r="G110" s="16">
        <v>40</v>
      </c>
      <c r="H110" s="16">
        <v>48</v>
      </c>
      <c r="I110" s="12"/>
    </row>
    <row r="111" spans="1:9" ht="17" thickTop="1" x14ac:dyDescent="0.2">
      <c r="A111" s="24" t="s">
        <v>150</v>
      </c>
      <c r="B111" s="21" t="s">
        <v>156</v>
      </c>
      <c r="C111" s="18"/>
      <c r="D111" s="18"/>
      <c r="E111" s="18"/>
      <c r="F111" s="18"/>
      <c r="G111" s="19">
        <v>14.1</v>
      </c>
      <c r="H111" s="19">
        <v>16.920000000000002</v>
      </c>
      <c r="I111" s="10"/>
    </row>
    <row r="112" spans="1:9" x14ac:dyDescent="0.2">
      <c r="A112" s="25"/>
      <c r="B112" s="20" t="s">
        <v>157</v>
      </c>
      <c r="G112" s="14">
        <v>9.1199999999999992</v>
      </c>
      <c r="H112" s="14">
        <v>10.94</v>
      </c>
      <c r="I112" s="9"/>
    </row>
    <row r="113" spans="1:9" x14ac:dyDescent="0.2">
      <c r="A113" s="25"/>
      <c r="B113" s="21" t="s">
        <v>158</v>
      </c>
      <c r="C113" s="18"/>
      <c r="D113" s="18"/>
      <c r="E113" s="18"/>
      <c r="F113" s="18"/>
      <c r="G113" s="19">
        <v>19.89</v>
      </c>
      <c r="H113" s="19">
        <v>23.87</v>
      </c>
      <c r="I113" s="10"/>
    </row>
    <row r="114" spans="1:9" x14ac:dyDescent="0.2">
      <c r="A114" s="25"/>
      <c r="B114" s="20" t="s">
        <v>159</v>
      </c>
      <c r="G114" s="14">
        <v>14.13</v>
      </c>
      <c r="H114" s="14">
        <v>16.96</v>
      </c>
      <c r="I114" s="9"/>
    </row>
    <row r="115" spans="1:9" x14ac:dyDescent="0.2">
      <c r="A115" s="25"/>
      <c r="B115" s="21" t="s">
        <v>160</v>
      </c>
      <c r="C115" s="18"/>
      <c r="D115" s="18"/>
      <c r="E115" s="18"/>
      <c r="F115" s="18"/>
      <c r="G115" s="19">
        <v>3</v>
      </c>
      <c r="H115" s="19">
        <v>3.6</v>
      </c>
      <c r="I115" s="10"/>
    </row>
    <row r="116" spans="1:9" x14ac:dyDescent="0.2">
      <c r="A116" s="26"/>
      <c r="B116" s="20" t="s">
        <v>161</v>
      </c>
      <c r="G116" s="14">
        <v>6.15</v>
      </c>
      <c r="H116" s="14">
        <v>7.38</v>
      </c>
      <c r="I116" s="9"/>
    </row>
    <row r="117" spans="1:9" x14ac:dyDescent="0.2">
      <c r="A117" s="26"/>
      <c r="B117" s="21" t="s">
        <v>162</v>
      </c>
      <c r="C117" s="18"/>
      <c r="D117" s="18"/>
      <c r="E117" s="18"/>
      <c r="F117" s="18"/>
      <c r="G117" s="19">
        <v>25.41</v>
      </c>
      <c r="H117" s="19">
        <v>30.49</v>
      </c>
      <c r="I117" s="10"/>
    </row>
    <row r="118" spans="1:9" x14ac:dyDescent="0.2">
      <c r="A118" s="26"/>
      <c r="B118" s="20" t="s">
        <v>163</v>
      </c>
      <c r="G118" s="14">
        <v>11.63</v>
      </c>
      <c r="H118" s="14">
        <v>13.96</v>
      </c>
      <c r="I118" s="9"/>
    </row>
    <row r="119" spans="1:9" x14ac:dyDescent="0.2">
      <c r="A119" s="26"/>
      <c r="B119" s="21" t="s">
        <v>164</v>
      </c>
      <c r="C119" s="18"/>
      <c r="D119" s="18"/>
      <c r="E119" s="18"/>
      <c r="F119" s="18"/>
      <c r="G119" s="19">
        <v>11.63</v>
      </c>
      <c r="H119" s="19">
        <v>13.96</v>
      </c>
      <c r="I119" s="10"/>
    </row>
    <row r="120" spans="1:9" x14ac:dyDescent="0.2">
      <c r="A120" s="26"/>
      <c r="B120" s="20" t="s">
        <v>165</v>
      </c>
      <c r="G120" s="14">
        <v>31.63</v>
      </c>
      <c r="H120" s="14">
        <v>37.96</v>
      </c>
      <c r="I120" s="9"/>
    </row>
    <row r="121" spans="1:9" x14ac:dyDescent="0.2">
      <c r="A121" s="26"/>
      <c r="B121" s="21" t="s">
        <v>166</v>
      </c>
      <c r="C121" s="18"/>
      <c r="D121" s="18"/>
      <c r="E121" s="18"/>
      <c r="F121" s="18"/>
      <c r="G121" s="19">
        <v>0</v>
      </c>
      <c r="H121" s="19">
        <v>0</v>
      </c>
      <c r="I121" s="10"/>
    </row>
    <row r="122" spans="1:9" x14ac:dyDescent="0.2">
      <c r="A122" s="26"/>
      <c r="B122" s="20" t="s">
        <v>167</v>
      </c>
      <c r="G122" s="14">
        <v>17.190000000000001</v>
      </c>
      <c r="H122" s="14">
        <v>20.63</v>
      </c>
      <c r="I122" s="9"/>
    </row>
    <row r="123" spans="1:9" x14ac:dyDescent="0.2">
      <c r="A123" s="26"/>
      <c r="B123" s="21" t="s">
        <v>168</v>
      </c>
      <c r="C123" s="18"/>
      <c r="D123" s="18"/>
      <c r="E123" s="18"/>
      <c r="F123" s="18"/>
      <c r="G123" s="19">
        <v>0</v>
      </c>
      <c r="H123" s="19">
        <v>0</v>
      </c>
      <c r="I123" s="10"/>
    </row>
    <row r="124" spans="1:9" x14ac:dyDescent="0.2">
      <c r="A124" s="26"/>
      <c r="B124" s="20" t="s">
        <v>169</v>
      </c>
      <c r="G124" s="14">
        <v>8.2899999999999991</v>
      </c>
      <c r="H124" s="14">
        <v>9.9499999999999993</v>
      </c>
      <c r="I124" s="9"/>
    </row>
    <row r="125" spans="1:9" ht="17" thickBot="1" x14ac:dyDescent="0.25">
      <c r="A125" s="26"/>
      <c r="B125" s="22" t="s">
        <v>170</v>
      </c>
      <c r="C125" s="3"/>
      <c r="D125" s="3"/>
      <c r="E125" s="3"/>
      <c r="F125" s="3"/>
      <c r="G125" s="15">
        <v>33.29</v>
      </c>
      <c r="H125" s="15">
        <v>39.950000000000003</v>
      </c>
      <c r="I125" s="11"/>
    </row>
    <row r="126" spans="1:9" ht="17" thickTop="1" x14ac:dyDescent="0.2">
      <c r="A126" s="24" t="s">
        <v>171</v>
      </c>
      <c r="B126" s="20" t="s">
        <v>172</v>
      </c>
      <c r="G126" s="14">
        <v>5.9</v>
      </c>
      <c r="H126" s="14">
        <v>7.08</v>
      </c>
      <c r="I126" s="9"/>
    </row>
    <row r="127" spans="1:9" x14ac:dyDescent="0.2">
      <c r="A127" s="25"/>
      <c r="B127" s="21" t="s">
        <v>173</v>
      </c>
      <c r="C127" s="18"/>
      <c r="D127" s="18"/>
      <c r="E127" s="18"/>
      <c r="F127" s="18"/>
      <c r="G127" s="19">
        <v>18</v>
      </c>
      <c r="H127" s="19">
        <v>21.6</v>
      </c>
      <c r="I127" s="10"/>
    </row>
    <row r="128" spans="1:9" x14ac:dyDescent="0.2">
      <c r="A128" s="25"/>
      <c r="B128" s="20" t="s">
        <v>174</v>
      </c>
      <c r="G128" s="14">
        <v>0</v>
      </c>
      <c r="H128" s="14">
        <v>0</v>
      </c>
      <c r="I128" s="9"/>
    </row>
    <row r="129" spans="1:9" x14ac:dyDescent="0.2">
      <c r="A129" s="25"/>
      <c r="B129" s="21" t="s">
        <v>175</v>
      </c>
      <c r="C129" s="18"/>
      <c r="D129" s="18"/>
      <c r="E129" s="18"/>
      <c r="F129" s="18"/>
      <c r="G129" s="19">
        <v>7.95</v>
      </c>
      <c r="H129" s="19">
        <v>9.5399999999999991</v>
      </c>
      <c r="I129" s="10"/>
    </row>
    <row r="130" spans="1:9" x14ac:dyDescent="0.2">
      <c r="A130" s="25"/>
      <c r="B130" s="20" t="s">
        <v>176</v>
      </c>
      <c r="G130" s="14">
        <v>0</v>
      </c>
      <c r="H130" s="14">
        <v>0</v>
      </c>
      <c r="I130" s="9"/>
    </row>
    <row r="131" spans="1:9" x14ac:dyDescent="0.2">
      <c r="A131" s="26"/>
      <c r="B131" s="21" t="s">
        <v>177</v>
      </c>
      <c r="C131" s="18"/>
      <c r="D131" s="18"/>
      <c r="E131" s="18"/>
      <c r="F131" s="18"/>
      <c r="G131" s="19">
        <v>11</v>
      </c>
      <c r="H131" s="19">
        <v>13.2</v>
      </c>
      <c r="I131" s="10"/>
    </row>
    <row r="132" spans="1:9" x14ac:dyDescent="0.2">
      <c r="A132" s="26"/>
      <c r="B132" s="20" t="s">
        <v>178</v>
      </c>
      <c r="G132" s="14">
        <v>25.79</v>
      </c>
      <c r="H132" s="14">
        <v>30.95</v>
      </c>
      <c r="I132" s="9"/>
    </row>
    <row r="133" spans="1:9" ht="17" thickBot="1" x14ac:dyDescent="0.25">
      <c r="A133" s="27"/>
      <c r="B133" s="22" t="s">
        <v>179</v>
      </c>
      <c r="C133" s="3"/>
      <c r="D133" s="3"/>
      <c r="E133" s="3"/>
      <c r="F133" s="3"/>
      <c r="G133" s="15">
        <v>38.29</v>
      </c>
      <c r="H133" s="15">
        <v>45.95</v>
      </c>
      <c r="I133" s="11"/>
    </row>
    <row r="134" spans="1:9" ht="21" thickTop="1" x14ac:dyDescent="0.2">
      <c r="B134" s="17"/>
      <c r="C134" s="17"/>
      <c r="D134" s="17"/>
      <c r="E134" s="17"/>
      <c r="F134" s="17"/>
      <c r="G134" s="17"/>
      <c r="H134" s="17"/>
    </row>
    <row r="135" spans="1:9" ht="20" x14ac:dyDescent="0.2">
      <c r="B135" s="17"/>
      <c r="C135" s="17"/>
      <c r="D135" s="17"/>
      <c r="E135" s="17"/>
      <c r="F135" s="17"/>
      <c r="G135" s="17"/>
      <c r="H135" s="17"/>
    </row>
    <row r="136" spans="1:9" ht="20" x14ac:dyDescent="0.2">
      <c r="B136" s="17"/>
      <c r="C136" s="17"/>
      <c r="D136" s="17"/>
      <c r="E136" s="17"/>
      <c r="F136" s="17"/>
      <c r="G136" s="17"/>
      <c r="H136" s="17"/>
    </row>
    <row r="137" spans="1:9" ht="20" x14ac:dyDescent="0.2">
      <c r="B137" s="17"/>
      <c r="C137" s="17"/>
      <c r="D137" s="17"/>
      <c r="E137" s="17"/>
      <c r="F137" s="17"/>
      <c r="G137" s="17"/>
      <c r="H137" s="17"/>
    </row>
    <row r="138" spans="1:9" ht="20" x14ac:dyDescent="0.2">
      <c r="C138"/>
      <c r="D138"/>
      <c r="E138"/>
      <c r="F138"/>
      <c r="G138"/>
      <c r="H138" s="17"/>
    </row>
    <row r="139" spans="1:9" ht="20" x14ac:dyDescent="0.2">
      <c r="A139" s="17"/>
      <c r="B139" s="17"/>
      <c r="C139" s="17"/>
      <c r="D139" s="17"/>
      <c r="E139" s="17"/>
      <c r="F139" s="17"/>
      <c r="G139" s="17"/>
      <c r="H139" s="17"/>
    </row>
    <row r="140" spans="1:9" ht="20" x14ac:dyDescent="0.2">
      <c r="A140" s="17"/>
      <c r="B140" s="17"/>
      <c r="C140" s="17"/>
      <c r="D140" s="17"/>
      <c r="E140" s="17"/>
      <c r="F140" s="17"/>
      <c r="G140" s="17"/>
      <c r="H140"/>
    </row>
    <row r="141" spans="1:9" ht="20" x14ac:dyDescent="0.2">
      <c r="A141" s="17"/>
      <c r="B141" s="17"/>
      <c r="C141" s="17"/>
      <c r="D141" s="17"/>
      <c r="E141" s="17"/>
      <c r="F141" s="17"/>
      <c r="G141" s="17"/>
    </row>
    <row r="142" spans="1:9" ht="20" x14ac:dyDescent="0.2">
      <c r="A142" s="17"/>
      <c r="B142" s="17"/>
      <c r="C142" s="17"/>
      <c r="D142" s="17"/>
      <c r="E142" s="17"/>
      <c r="F142" s="17"/>
      <c r="G142" s="17"/>
    </row>
    <row r="143" spans="1:9" ht="20" x14ac:dyDescent="0.2">
      <c r="A143" s="17"/>
      <c r="B143" s="17"/>
      <c r="C143" s="17"/>
      <c r="D143" s="17"/>
      <c r="E143" s="17"/>
      <c r="F143" s="17"/>
      <c r="G143" s="17"/>
    </row>
    <row r="144" spans="1:9" ht="20" x14ac:dyDescent="0.2">
      <c r="A144" s="17"/>
      <c r="B144" s="17"/>
      <c r="C144" s="17"/>
      <c r="D144" s="17"/>
      <c r="E144" s="17"/>
      <c r="F144" s="17"/>
      <c r="G144" s="17"/>
    </row>
    <row r="145" spans="1:7" ht="20" x14ac:dyDescent="0.2">
      <c r="A145" s="17"/>
      <c r="B145" s="17"/>
      <c r="C145" s="17"/>
      <c r="D145" s="17"/>
      <c r="E145" s="17"/>
      <c r="F145" s="17"/>
      <c r="G145" s="17"/>
    </row>
    <row r="146" spans="1:7" ht="20" x14ac:dyDescent="0.2">
      <c r="A146" s="17"/>
      <c r="B146" s="17"/>
      <c r="C146" s="17"/>
      <c r="D146" s="17"/>
      <c r="E146" s="17"/>
      <c r="F146"/>
      <c r="G146"/>
    </row>
  </sheetData>
  <mergeCells count="13">
    <mergeCell ref="A60:A70"/>
    <mergeCell ref="A2:A15"/>
    <mergeCell ref="A16:A28"/>
    <mergeCell ref="A29:A33"/>
    <mergeCell ref="A34:A36"/>
    <mergeCell ref="A37:A59"/>
    <mergeCell ref="A126:A133"/>
    <mergeCell ref="A97:A105"/>
    <mergeCell ref="A106:A110"/>
    <mergeCell ref="A111:A125"/>
    <mergeCell ref="A71:A77"/>
    <mergeCell ref="A90:A96"/>
    <mergeCell ref="A78:A89"/>
  </mergeCells>
  <phoneticPr fontId="2" type="noConversion"/>
  <pageMargins left="0.47222222222222221" right="0.375" top="0.45833333333333331" bottom="0.44444444444444442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3148F33A0E4394A8A5775897333824D" ma:contentTypeVersion="13" ma:contentTypeDescription="Ein neues Dokument erstellen." ma:contentTypeScope="" ma:versionID="654a36134f974986de1a87b7631fce16">
  <xsd:schema xmlns:xsd="http://www.w3.org/2001/XMLSchema" xmlns:xs="http://www.w3.org/2001/XMLSchema" xmlns:p="http://schemas.microsoft.com/office/2006/metadata/properties" xmlns:ns2="faad5499-ff87-4f7f-ace2-890320b131b9" xmlns:ns3="474bf8de-05cf-4d5d-a2dd-cd21d7b739a7" targetNamespace="http://schemas.microsoft.com/office/2006/metadata/properties" ma:root="true" ma:fieldsID="60799b744416be22cc14bb1c9ba3a649" ns2:_="" ns3:_="">
    <xsd:import namespace="faad5499-ff87-4f7f-ace2-890320b131b9"/>
    <xsd:import namespace="474bf8de-05cf-4d5d-a2dd-cd21d7b739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d5499-ff87-4f7f-ace2-890320b131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9211e96-44d6-4c2c-a7e8-eac2548210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bf8de-05cf-4d5d-a2dd-cd21d7b739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558f10-77e3-4961-af54-e676a8d1d3e4}" ma:internalName="TaxCatchAll" ma:showField="CatchAllData" ma:web="474bf8de-05cf-4d5d-a2dd-cd21d7b739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d5499-ff87-4f7f-ace2-890320b131b9">
      <Terms xmlns="http://schemas.microsoft.com/office/infopath/2007/PartnerControls"/>
    </lcf76f155ced4ddcb4097134ff3c332f>
    <TaxCatchAll xmlns="474bf8de-05cf-4d5d-a2dd-cd21d7b739a7" xsi:nil="true"/>
  </documentManagement>
</p:properties>
</file>

<file path=customXml/itemProps1.xml><?xml version="1.0" encoding="utf-8"?>
<ds:datastoreItem xmlns:ds="http://schemas.openxmlformats.org/officeDocument/2006/customXml" ds:itemID="{4EB3D85D-E27F-4234-BC52-8A96EB1A55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8CBA61-465F-4F8C-91AB-DD1F4C5A5B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ad5499-ff87-4f7f-ace2-890320b131b9"/>
    <ds:schemaRef ds:uri="474bf8de-05cf-4d5d-a2dd-cd21d7b739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6BFBFC-C2E7-4EAE-99FB-F9457453DEB8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474bf8de-05cf-4d5d-a2dd-cd21d7b739a7"/>
    <ds:schemaRef ds:uri="faad5499-ff87-4f7f-ace2-890320b131b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Jacob Schaefer</cp:lastModifiedBy>
  <cp:revision/>
  <dcterms:created xsi:type="dcterms:W3CDTF">2025-05-16T07:13:02Z</dcterms:created>
  <dcterms:modified xsi:type="dcterms:W3CDTF">2026-04-20T12:16:42Z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0x010100B3148F33A0E4394A8A5775897333824D</vt:lpwstr>
  </property>
  <property fmtid="{D5CDD505-2E9C-101B-9397-08002B2CF9AE}" pid="3" name="MediaServiceImageTags">
    <vt:lpwstr/>
  </property>
</Properties>
</file>